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KiemThuPhanMen\3. TestCase\"/>
    </mc:Choice>
  </mc:AlternateContent>
  <xr:revisionPtr revIDLastSave="0" documentId="13_ncr:1_{C9179C23-0B8D-4304-AE51-6E1ECCD41D7A}" xr6:coauthVersionLast="47" xr6:coauthVersionMax="47" xr10:uidLastSave="{00000000-0000-0000-0000-000000000000}"/>
  <bookViews>
    <workbookView xWindow="-120" yWindow="-120" windowWidth="29040" windowHeight="15720" tabRatio="717" firstSheet="21" activeTab="28" xr2:uid="{00000000-000D-0000-FFFF-FFFF00000000}"/>
  </bookViews>
  <sheets>
    <sheet name="Title" sheetId="1" r:id="rId1"/>
    <sheet name="Document Control" sheetId="2" r:id="rId2"/>
    <sheet name="Summary Report" sheetId="3" r:id="rId3"/>
    <sheet name="1. Auth Customer" sheetId="4" r:id="rId4"/>
    <sheet name="2. Search Trip" sheetId="5" r:id="rId5"/>
    <sheet name="3. Trip Detail" sheetId="6" r:id="rId6"/>
    <sheet name="4. Booking" sheetId="7" r:id="rId7"/>
    <sheet name="5. Payment" sheetId="8" r:id="rId8"/>
    <sheet name="6. View Ticket QR" sheetId="9" r:id="rId9"/>
    <sheet name="7. Guest Lookup OTP" sheetId="10" r:id="rId10"/>
    <sheet name="8. Cancel Ticket" sheetId="11" r:id="rId11"/>
    <sheet name="9. Complaints" sheetId="12" r:id="rId12"/>
    <sheet name="10. Profile" sheetId="13" r:id="rId13"/>
    <sheet name="11. Loyalty" sheetId="14" r:id="rId14"/>
    <sheet name="12. Operator Auth" sheetId="15" r:id="rId15"/>
    <sheet name="13. Operator Routes" sheetId="16" r:id="rId16"/>
    <sheet name="14. Operator Buses" sheetId="17" r:id="rId17"/>
    <sheet name="15. Operator Employees" sheetId="18" r:id="rId18"/>
    <sheet name="16. Operator Trips" sheetId="19" r:id="rId19"/>
    <sheet name="17. Operator Vouchers" sheetId="20" r:id="rId20"/>
    <sheet name="18. Operator Reports" sheetId="21" r:id="rId21"/>
    <sheet name="19. TM Auth" sheetId="22" r:id="rId22"/>
    <sheet name="20. TM QR CheckIn" sheetId="23" r:id="rId23"/>
    <sheet name="21. TM Trip Status" sheetId="24" r:id="rId24"/>
    <sheet name="22. Admin Auth" sheetId="25" r:id="rId25"/>
    <sheet name="23. Admin Operators" sheetId="26" r:id="rId26"/>
    <sheet name="24. Admin Users" sheetId="27" r:id="rId27"/>
    <sheet name="25. Admin Complaints" sheetId="28" r:id="rId28"/>
    <sheet name="26. Admin Content" sheetId="29" r:id="rId29"/>
  </sheets>
  <externalReferences>
    <externalReference r:id="rId30"/>
  </externalReferences>
  <definedNames>
    <definedName name="BANG">#REF!</definedName>
    <definedName name="Janua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F4" i="29"/>
  <c r="E4" i="29"/>
  <c r="D4" i="29"/>
  <c r="C4" i="29"/>
  <c r="B4" i="29"/>
  <c r="G4" i="28"/>
  <c r="F4" i="28"/>
  <c r="E4" i="28"/>
  <c r="D4" i="28"/>
  <c r="C4" i="28"/>
  <c r="B4" i="28"/>
  <c r="G4" i="27"/>
  <c r="F4" i="27"/>
  <c r="E4" i="27"/>
  <c r="D4" i="27"/>
  <c r="C4" i="27"/>
  <c r="B4" i="27"/>
  <c r="G4" i="26"/>
  <c r="F4" i="26"/>
  <c r="E4" i="26"/>
  <c r="D4" i="26"/>
  <c r="C4" i="26"/>
  <c r="B4" i="26"/>
  <c r="G4" i="24"/>
  <c r="F4" i="24"/>
  <c r="E4" i="24"/>
  <c r="D4" i="24"/>
  <c r="C4" i="24"/>
  <c r="B4" i="24"/>
  <c r="G4" i="23"/>
  <c r="F4" i="23"/>
  <c r="E4" i="23"/>
  <c r="D4" i="23"/>
  <c r="C4" i="23"/>
  <c r="B4" i="23"/>
  <c r="G4" i="22"/>
  <c r="F4" i="22"/>
  <c r="E4" i="22"/>
  <c r="D4" i="22"/>
  <c r="C4" i="22"/>
  <c r="B4" i="22"/>
  <c r="G4" i="21"/>
  <c r="F4" i="21"/>
  <c r="E4" i="21"/>
  <c r="D4" i="21"/>
  <c r="C4" i="21"/>
  <c r="B4" i="21"/>
  <c r="G4" i="20"/>
  <c r="F4" i="20"/>
  <c r="E4" i="20"/>
  <c r="D4" i="20"/>
  <c r="C4" i="20"/>
  <c r="B4" i="20"/>
  <c r="G4" i="19"/>
  <c r="F4" i="19"/>
  <c r="E4" i="19"/>
  <c r="D4" i="19"/>
  <c r="C4" i="19"/>
  <c r="B4" i="19"/>
  <c r="G4" i="18"/>
  <c r="F4" i="18"/>
  <c r="E4" i="18"/>
  <c r="D4" i="18"/>
  <c r="C4" i="18"/>
  <c r="B4" i="18"/>
  <c r="G4" i="17"/>
  <c r="F4" i="17"/>
  <c r="E4" i="17"/>
  <c r="D4" i="17"/>
  <c r="C4" i="17"/>
  <c r="B4" i="17"/>
  <c r="G4" i="16"/>
  <c r="F4" i="16"/>
  <c r="E4" i="16"/>
  <c r="D4" i="16"/>
  <c r="C4" i="16"/>
  <c r="B4" i="16"/>
  <c r="G4" i="15"/>
  <c r="F4" i="15"/>
  <c r="E4" i="15"/>
  <c r="D4" i="15"/>
  <c r="C4" i="15"/>
  <c r="B4" i="15"/>
  <c r="G4" i="14"/>
  <c r="F4" i="14"/>
  <c r="E4" i="14"/>
  <c r="D4" i="14"/>
  <c r="C4" i="14"/>
  <c r="B4" i="14"/>
  <c r="G4" i="13"/>
  <c r="F4" i="13"/>
  <c r="E4" i="13"/>
  <c r="D4" i="13"/>
  <c r="C4" i="13"/>
  <c r="B4" i="13"/>
  <c r="G4" i="12"/>
  <c r="F4" i="12"/>
  <c r="E4" i="12"/>
  <c r="D4" i="12"/>
  <c r="C4" i="12"/>
  <c r="B4" i="12"/>
  <c r="G4" i="11"/>
  <c r="F4" i="11"/>
  <c r="E4" i="11"/>
  <c r="D4" i="11"/>
  <c r="C4" i="11"/>
  <c r="B4" i="11"/>
  <c r="G4" i="10"/>
  <c r="F4" i="10"/>
  <c r="E4" i="10"/>
  <c r="D4" i="10"/>
  <c r="C4" i="10"/>
  <c r="B4" i="10"/>
  <c r="G4" i="9"/>
  <c r="F4" i="9"/>
  <c r="E4" i="9"/>
  <c r="D4" i="9"/>
  <c r="C4" i="9"/>
  <c r="B4" i="9"/>
  <c r="G4" i="8"/>
  <c r="F4" i="8"/>
  <c r="E4" i="8"/>
  <c r="D4" i="8"/>
  <c r="C4" i="8"/>
  <c r="B4" i="8"/>
  <c r="G4" i="7"/>
  <c r="F4" i="7"/>
  <c r="E4" i="7"/>
  <c r="D4" i="7"/>
  <c r="C4" i="7"/>
  <c r="B4" i="7"/>
  <c r="G4" i="6"/>
  <c r="F4" i="6"/>
  <c r="E4" i="6"/>
  <c r="D4" i="6"/>
  <c r="C4" i="6"/>
  <c r="B4" i="6"/>
  <c r="G4" i="5"/>
  <c r="F4" i="5"/>
  <c r="E4" i="5"/>
  <c r="D4" i="5"/>
  <c r="C4" i="5"/>
  <c r="B4" i="5"/>
  <c r="G4" i="4"/>
  <c r="F4" i="4"/>
  <c r="E4" i="4"/>
  <c r="D4" i="4"/>
  <c r="C4" i="4"/>
  <c r="B4" i="4"/>
  <c r="G4" i="25"/>
  <c r="F4" i="25"/>
  <c r="E4" i="25"/>
  <c r="D4" i="25"/>
  <c r="C4" i="25"/>
  <c r="B4" i="25"/>
  <c r="A5" i="3" l="1"/>
  <c r="A6" i="3" s="1"/>
  <c r="A7" i="3" s="1"/>
  <c r="A8" i="3" s="1"/>
  <c r="A9" i="3" s="1"/>
  <c r="H4" i="3"/>
  <c r="H10" i="3" s="1"/>
  <c r="G4" i="3"/>
  <c r="F4" i="3"/>
  <c r="E4" i="3"/>
  <c r="D4" i="3"/>
  <c r="J4" i="3" s="1"/>
  <c r="C4" i="3"/>
  <c r="I4" i="3" s="1"/>
  <c r="B4" i="3"/>
</calcChain>
</file>

<file path=xl/sharedStrings.xml><?xml version="1.0" encoding="utf-8"?>
<sst xmlns="http://schemas.openxmlformats.org/spreadsheetml/2006/main" count="1633" uniqueCount="846">
  <si>
    <t>Form Name/ Function Name</t>
  </si>
  <si>
    <t>Tester</t>
  </si>
  <si>
    <t>Nguyễn Hồng Khanh</t>
  </si>
  <si>
    <t>Date</t>
  </si>
  <si>
    <t>Number of Passed</t>
  </si>
  <si>
    <t>Number of Failed</t>
  </si>
  <si>
    <t>Number of Pending</t>
  </si>
  <si>
    <t>Number of Not Start</t>
  </si>
  <si>
    <t>Number of TestCase</t>
  </si>
  <si>
    <t>Testcase ID</t>
  </si>
  <si>
    <t>Test Scenario</t>
  </si>
  <si>
    <t>Pre-Condition</t>
  </si>
  <si>
    <t>Data Input</t>
  </si>
  <si>
    <t>Step procedure</t>
  </si>
  <si>
    <t>Expected output</t>
  </si>
  <si>
    <t>Actual results</t>
  </si>
  <si>
    <t>Browser/Device</t>
  </si>
  <si>
    <t>Notes</t>
  </si>
  <si>
    <t>Chrome</t>
  </si>
  <si>
    <t>Edge</t>
  </si>
  <si>
    <t>Firefox</t>
  </si>
  <si>
    <t>TC_SEARCH_001</t>
  </si>
  <si>
    <t>Tìm kiếm chuyến xe với tuyến đường hợp lệ</t>
  </si>
  <si>
    <t>Mở trình duyệt, truy cập URL "https://ve-xe-nhanh-testing-frontend.vercel.app"</t>
  </si>
  <si>
    <t>Từ: TP. Hồ Chí Minh
Đến: Vũng Tàu
Ngày: 20/04/2026</t>
  </si>
  <si>
    <t>1) Tại trang chủ, nhập thành phố đi
2) Nhập thành phố đến
3) Chọn ngày khởi hành
4) Click "Tìm chuyến xe ngay"</t>
  </si>
  <si>
    <t>Hiển thị danh sách chuyến xe có sẵn cho tuyến TP.HCM - Vũng Tàu</t>
  </si>
  <si>
    <t>TC_SEARCH_002</t>
  </si>
  <si>
    <t>Tìm kiếm chuyến xe không có kết quả</t>
  </si>
  <si>
    <t>Từ: Hà Nội
Đến: Cà Mau
Ngày: 20/04/2026</t>
  </si>
  <si>
    <t>1) Nhập thành phố đi "Hà Nội"
2) Nhập thành phố đến "Cà Mau"
3) Chọn ngày
4) Click "Tìm chuyến xe ngay"</t>
  </si>
  <si>
    <t>Hiển thị thông báo "Không tìm thấy chuyến xe" hoặc danh sách trống</t>
  </si>
  <si>
    <t>TC_SEARCH_003</t>
  </si>
  <si>
    <t>Tìm kiếm không nhập thành phố đi</t>
  </si>
  <si>
    <t>Từ: (trống)
Đến: Vũng Tàu
Ngày: 20/04/2026</t>
  </si>
  <si>
    <t>1) Để trống thành phố đi
2) Nhập thành phố đến
3) Chọn ngày
4) Click "Tìm chuyến xe ngay"</t>
  </si>
  <si>
    <t>Hiển thị lỗi: "Vui lòng nhập điểm đi"</t>
  </si>
  <si>
    <t>TC_SEARCH_004</t>
  </si>
  <si>
    <t>Tìm kiếm không nhập thành phố đến</t>
  </si>
  <si>
    <t>Từ: TP. Hồ Chí Minh
Đến: (trống)
Ngày: 20/04/2026</t>
  </si>
  <si>
    <t>1) Nhập thành phố đi
2) Để trống thành phố đến
3) Chọn ngày
4) Click "Tìm chuyến xe ngay"</t>
  </si>
  <si>
    <t>Hiển thị lỗi: "Vui lòng nhập điểm đến"</t>
  </si>
  <si>
    <t>TC_SEARCH_005</t>
  </si>
  <si>
    <t>Tìm kiếm với điểm đi và điểm đến giống nhau</t>
  </si>
  <si>
    <t>Từ: TP. Hồ Chí Minh
Đến: TP. Hồ Chí Minh</t>
  </si>
  <si>
    <t>1) Nhập cùng thành phố cho điểm đi và đến
2) Chọn ngày
3) Click "Tìm chuyến xe ngay"</t>
  </si>
  <si>
    <t>Hiển thị lỗi: "Điểm đi và điểm đến không được giống nhau"</t>
  </si>
  <si>
    <t>TC_SEARCH_006</t>
  </si>
  <si>
    <t>Hiển thị thông tin chuyến xe trong kết quả tìm kiếm</t>
  </si>
  <si>
    <t>1) Tìm kiếm tuyến hợp lệ
2) Xem danh sách kết quả</t>
  </si>
  <si>
    <t>Mỗi chuyến hiển thị: tên nhà xe, giờ khởi hành, giá vé, loại xe, số ghế trống</t>
  </si>
  <si>
    <t>TC_SEARCH_007</t>
  </si>
  <si>
    <t>Đổi chiều tuyến đường (swap)</t>
  </si>
  <si>
    <t>Từ: TP. Hồ Chí Minh
Đến: Vũng Tàu</t>
  </si>
  <si>
    <t>1) Nhập điểm đi và điểm đến
2) Click nút đổi chiều (swap)
3) Quan sát giá trị 2 trường</t>
  </si>
  <si>
    <t>Điểm đi thành "Vũng Tàu", điểm đến thành "TP. Hồ Chí Minh"</t>
  </si>
  <si>
    <t>&lt;&lt;Project Name&gt;&gt;</t>
  </si>
  <si>
    <t>&lt;&lt;TestCase Name&gt;&gt;</t>
  </si>
  <si>
    <t>Created by:</t>
  </si>
  <si>
    <t>Effective date:</t>
  </si>
  <si>
    <t>Version:</t>
  </si>
  <si>
    <t>Document Control</t>
  </si>
  <si>
    <t>Version</t>
  </si>
  <si>
    <t>Change description</t>
  </si>
  <si>
    <t>Changed by</t>
  </si>
  <si>
    <t>Approved by</t>
  </si>
  <si>
    <t>&lt;x.y&gt;</t>
  </si>
  <si>
    <t>&lt;First Name&gt; &lt;Last Name&gt;-&lt;Middle Name&gt;</t>
  </si>
  <si>
    <t>&lt;MMMM DD, YYYY&gt;</t>
  </si>
  <si>
    <t>SUMMARY REPORT</t>
  </si>
  <si>
    <t>No</t>
  </si>
  <si>
    <t>Form Name/Function Name</t>
  </si>
  <si>
    <t>Numbet of Blocked</t>
  </si>
  <si>
    <t>Number of Test Case</t>
  </si>
  <si>
    <t>Percent of Passed</t>
  </si>
  <si>
    <t>Percent of Failed</t>
  </si>
  <si>
    <t xml:space="preserve">Total </t>
  </si>
  <si>
    <t>TC_AUTH_001</t>
  </si>
  <si>
    <t>Hiển thị form đăng nhập</t>
  </si>
  <si>
    <t>1) Truy cập URL
2) Click "Đăng nhập"</t>
  </si>
  <si>
    <t>Hiển thị form đăng nhập với 2 trường Email và Mật khẩu, nút Đăng nhập</t>
  </si>
  <si>
    <t>TC_AUTH_002</t>
  </si>
  <si>
    <t>Đăng nhập thành công với tài khoản hợp lệ</t>
  </si>
  <si>
    <t>Email: nhkyn.0410@gmail.com
Password: Nhkhanh@0410</t>
  </si>
  <si>
    <t>1) Click "Đăng nhập"
2) Nhập Email
3) Nhập Mật khẩu
4) Click nút "Đăng nhập"</t>
  </si>
  <si>
    <t>Đăng nhập thành công, chuyển về trang chủ, hiển thị tên user</t>
  </si>
  <si>
    <t>TC_AUTH_003</t>
  </si>
  <si>
    <t>Đăng nhập với mật khẩu sai</t>
  </si>
  <si>
    <t>Email: nhkyn.0410@gmail.com
Password: SaiMatKhau123</t>
  </si>
  <si>
    <t>1) Click "Đăng nhập"
2) Nhập Email hợp lệ
3) Nhập mật khẩu sai
4) Click nút "Đăng nhập"</t>
  </si>
  <si>
    <t>Hiển thị thông báo lỗi: "Email hoặc mật khẩu không đúng". Vẫn ở trang đăng nhập.</t>
  </si>
  <si>
    <t>TC_AUTH_004</t>
  </si>
  <si>
    <t>Đăng nhập với email không tồn tại</t>
  </si>
  <si>
    <t>Email: khongtontai@gmail.com
Password: Test@123</t>
  </si>
  <si>
    <t>1) Click "Đăng nhập"
2) Nhập email không tồn tại
3) Nhập mật khẩu
4) Click "Đăng nhập"</t>
  </si>
  <si>
    <t>Hiển thị lỗi: "Email hoặc mật khẩu không đúng"</t>
  </si>
  <si>
    <t>TC_AUTH_005</t>
  </si>
  <si>
    <t>Đăng nhập với Email trống</t>
  </si>
  <si>
    <t>Email: (trống)
Password: Nhkhanh@0410</t>
  </si>
  <si>
    <t>1) Click "Đăng nhập"
2) Để trống Email
3) Nhập mật khẩu
4) Click "Đăng nhập"</t>
  </si>
  <si>
    <t>Hiển thị lỗi validation: "Vui lòng nhập email"</t>
  </si>
  <si>
    <t>TC_AUTH_006</t>
  </si>
  <si>
    <t>Đăng nhập với Mật khẩu trống</t>
  </si>
  <si>
    <t>Email: nhkyn.0410@gmail.com
Password: (trống)</t>
  </si>
  <si>
    <t>1) Click "Đăng nhập"
2) Nhập email
3) Để trống mật khẩu
4) Click "Đăng nhập"</t>
  </si>
  <si>
    <t>Hiển thị lỗi validation: "Vui lòng nhập mật khẩu"</t>
  </si>
  <si>
    <t>TC_AUTH_007</t>
  </si>
  <si>
    <t>Đăng nhập với cả 2 trường trống</t>
  </si>
  <si>
    <t>Email: (trống)
Password: (trống)</t>
  </si>
  <si>
    <t>1) Click "Đăng nhập"
2) Để trống cả 2 trường
3) Click "Đăng nhập"</t>
  </si>
  <si>
    <t>Hiển thị lỗi validation cho cả 2 trường</t>
  </si>
  <si>
    <t>TC_AUTH_008</t>
  </si>
  <si>
    <t>Mật khẩu được ẩn (masked)</t>
  </si>
  <si>
    <t>Password: Test@123</t>
  </si>
  <si>
    <t>1) Click "Đăng nhập"
2) Nhập mật khẩu
3) Quan sát trường mật khẩu</t>
  </si>
  <si>
    <t>Mật khẩu hiển thị dạng dấu chấm/sao, không hiện ký tự thật</t>
  </si>
  <si>
    <t>TC_AUTH_009</t>
  </si>
  <si>
    <t>Hiển thị form đăng ký</t>
  </si>
  <si>
    <t>1) Truy cập trang chủ
2) Click "Đăng ký"</t>
  </si>
  <si>
    <t>Hiển thị form đăng ký với các trường: Họ tên, Email, SĐT, Mật khẩu, Xác nhận mật khẩu</t>
  </si>
  <si>
    <t>TC_AUTH_010</t>
  </si>
  <si>
    <t>Đăng ký thành công với thông tin hợp lệ</t>
  </si>
  <si>
    <t>Họ tên: Test User
Email: testuser_new@gmail.com
SĐT: 0912345000
Password: Test@1234
Confirm: Test@1234</t>
  </si>
  <si>
    <t>1) Click "Đăng ký"
2) Nhập Họ tên
3) Nhập Email
4) Nhập SĐT
5) Nhập Mật khẩu
6) Nhập Xác nhận mật khẩu
7) Click "Đăng ký"</t>
  </si>
  <si>
    <t>Đăng ký thành công, chuyển sang trang đăng nhập hoặc xác nhận</t>
  </si>
  <si>
    <t>TC_AUTH_011</t>
  </si>
  <si>
    <t>Đăng ký với email đã tồn tại</t>
  </si>
  <si>
    <t>Email: nhkyn.0410@gmail.com
(email đã đăng ký)</t>
  </si>
  <si>
    <t>1) Click "Đăng ký"
2) Nhập email đã tồn tại
3) Điền các trường còn lại
4) Click "Đăng ký"</t>
  </si>
  <si>
    <t>Hiển thị lỗi: "Email đã được sử dụng"</t>
  </si>
  <si>
    <t>TC_AUTH_012</t>
  </si>
  <si>
    <t>Đăng ký với email không hợp lệ</t>
  </si>
  <si>
    <t>Email: invalid-email</t>
  </si>
  <si>
    <t>1) Click "Đăng ký"
2) Nhập email không hợp lệ
3) Điền các trường còn lại
4) Click "Đăng ký"</t>
  </si>
  <si>
    <t>Hiển thị lỗi: "Email không hợp lệ"</t>
  </si>
  <si>
    <t>TC_AUTH_013</t>
  </si>
  <si>
    <t>Đăng ký với SĐT không hợp lệ (9 số)</t>
  </si>
  <si>
    <t>SĐT: 091234567 (9 chữ số)</t>
  </si>
  <si>
    <t>1) Click "Đăng ký"
2) Nhập SĐT 9 chữ số
3) Điền các trường còn lại
4) Click "Đăng ký"</t>
  </si>
  <si>
    <t>Hiển thị lỗi: "Số điện thoại không hợp lệ"</t>
  </si>
  <si>
    <t>TC_AUTH_014</t>
  </si>
  <si>
    <t>Đăng ký với mật khẩu yếu</t>
  </si>
  <si>
    <t>Password: 123</t>
  </si>
  <si>
    <t>1) Click "Đăng ký"
2) Nhập mật khẩu quá ngắn/yếu
3) Điền các trường còn lại
4) Click "Đăng ký"</t>
  </si>
  <si>
    <t>Hiển thị lỗi: "Mật khẩu phải có ít nhất 6 ký tự"</t>
  </si>
  <si>
    <t>TC_AUTH_015</t>
  </si>
  <si>
    <t>Đăng ký với xác nhận mật khẩu không khớp</t>
  </si>
  <si>
    <t>Password: Test@1234
Confirm: DifferentPass@1</t>
  </si>
  <si>
    <t>1) Click "Đăng ký"
2) Nhập mật khẩu
3) Nhập xác nhận mật khẩu khác
4) Click "Đăng ký"</t>
  </si>
  <si>
    <t>Hiển thị lỗi: "Mật khẩu xác nhận không khớp"</t>
  </si>
  <si>
    <t>TC_AUTH_016</t>
  </si>
  <si>
    <t>Đăng ký với tất cả trường trống</t>
  </si>
  <si>
    <t>Tất cả trường: (trống)</t>
  </si>
  <si>
    <t>1) Click "Đăng ký"
2) Không điền gì
3) Click "Đăng ký"</t>
  </si>
  <si>
    <t>Hiển thị lỗi validation cho tất cả trường bắt buộc</t>
  </si>
  <si>
    <t>TC_AUTH_017</t>
  </si>
  <si>
    <t>Chuyển từ form đăng nhập sang đăng ký</t>
  </si>
  <si>
    <t>1) Vào trang đăng nhập
2) Click link "Đăng ký"</t>
  </si>
  <si>
    <t>Chuyển sang trang đăng ký thành công</t>
  </si>
  <si>
    <t>TC_AUTH_018</t>
  </si>
  <si>
    <t>Chuyển từ form đăng ký sang đăng nhập</t>
  </si>
  <si>
    <t>1) Vào trang đăng ký
2) Click link "Đăng nhập"</t>
  </si>
  <si>
    <t>Chuyển sang trang đăng nhập thành công</t>
  </si>
  <si>
    <t>TC_DETAIL_001</t>
  </si>
  <si>
    <t>Hiển thị trang chi tiết chuyến xe</t>
  </si>
  <si>
    <t>Tuyến: TP.HCM - Vũng Tàu
Ngày: 20/04/2026</t>
  </si>
  <si>
    <t>1) Tìm kiếm chuyến xe
2) Click "Chọn chuyến này" cho chuyến đầu tiên</t>
  </si>
  <si>
    <t>Hiển thị trang chi tiết chuyến: thông tin nhà xe, giờ khởi hành, giá vé, sơ đồ ghế</t>
  </si>
  <si>
    <t>TC_DETAIL_002</t>
  </si>
  <si>
    <t>Hiển thị sơ đồ ghế</t>
  </si>
  <si>
    <t>Chuyến: đã chọn từ kết quả tìm kiếm</t>
  </si>
  <si>
    <t>1) Vào trang chi tiết chuyến
2) Quan sát sơ đồ ghế</t>
  </si>
  <si>
    <t>Sơ đồ ghế hiển thị với các trạng thái: trống (xanh), đã đặt (đỏ/xám), đang chọn (vàng)</t>
  </si>
  <si>
    <t>TC_DETAIL_003</t>
  </si>
  <si>
    <t>Chọn 1 ghế trống</t>
  </si>
  <si>
    <t>Chuyến có ghế trống</t>
  </si>
  <si>
    <t>1) Vào trang chi tiết chuyến
2) Click vào 1 ghế trống trên sơ đồ</t>
  </si>
  <si>
    <t>Ghế đổi trạng thái thành "đang chọn", hiển thị thông tin ghế đã chọn, tổng tiền cập nhật</t>
  </si>
  <si>
    <t>TC_DETAIL_004</t>
  </si>
  <si>
    <t>Bỏ chọn ghế đã chọn</t>
  </si>
  <si>
    <t>Đã chọn 1 ghế</t>
  </si>
  <si>
    <t>1) Click lại vào ghế đang chọn</t>
  </si>
  <si>
    <t>Ghế trở về trạng thái "trống", tổng tiền cập nhật giảm</t>
  </si>
  <si>
    <t>TC_DETAIL_005</t>
  </si>
  <si>
    <t>Chọn nhiều ghế</t>
  </si>
  <si>
    <t>Chuyến có nhiều ghế trống</t>
  </si>
  <si>
    <t>1) Click chọn ghế trống thứ 1
2) Click chọn ghế trống thứ 2</t>
  </si>
  <si>
    <t>Cả 2 ghế đều đổi trạng thái "đang chọn", tổng tiền = giá x 2</t>
  </si>
  <si>
    <t>TC_DETAIL_006</t>
  </si>
  <si>
    <t>Click vào ghế đã được đặt</t>
  </si>
  <si>
    <t>Có ghế đã đặt (đỏ/xám)</t>
  </si>
  <si>
    <t>1) Click vào 1 ghế đã đặt</t>
  </si>
  <si>
    <t>Không cho phép chọn, ghế vẫn giữ trạng thái đã đặt</t>
  </si>
  <si>
    <t>TC_DETAIL_007</t>
  </si>
  <si>
    <t>Chọn điểm đón</t>
  </si>
  <si>
    <t>Đã chọn ghế</t>
  </si>
  <si>
    <t>1) Xem danh sách điểm đón
2) Chọn 1 điểm đón</t>
  </si>
  <si>
    <t>Điểm đón được chọn, hiển thị thông tin điểm đón</t>
  </si>
  <si>
    <t>TC_DETAIL_008</t>
  </si>
  <si>
    <t>Chọn điểm trả</t>
  </si>
  <si>
    <t>Đã chọn ghế + điểm đón</t>
  </si>
  <si>
    <t>1) Xem danh sách điểm trả
2) Chọn 1 điểm trả</t>
  </si>
  <si>
    <t>Điểm trả được chọn, hiển thị thông tin điểm trả</t>
  </si>
  <si>
    <t>TC_DETAIL_009</t>
  </si>
  <si>
    <t>Click "Tiếp tục" khi chưa chọn ghế</t>
  </si>
  <si>
    <t>Chưa chọn ghế nào</t>
  </si>
  <si>
    <t>1) Vào trang chi tiết chuyến
2) Không chọn ghế
3) Click "Tiếp tục"</t>
  </si>
  <si>
    <t>Hiển thị cảnh báo: "Vui lòng chọn ít nhất 1 ghế"</t>
  </si>
  <si>
    <t>TC_DETAIL_010</t>
  </si>
  <si>
    <t>Click "Tiếp tục" khi đã chọn đầy đủ</t>
  </si>
  <si>
    <t>Đã chọn ghế, điểm đón, điểm trả</t>
  </si>
  <si>
    <t>1) Chọn ghế, điểm đón, điểm trả
2) Click "Tiếp tục"</t>
  </si>
  <si>
    <t>Chuyển sang trang nhập thông tin hành khách</t>
  </si>
  <si>
    <t>TC_BK_001</t>
  </si>
  <si>
    <t>Full E2E: Login - Tìm - Chọn ghế - Điền TT - Thanh toán tiền mặt</t>
  </si>
  <si>
    <t>Route: TP.HCM - Vũng Tàu
Date: 20/04/2026
Name: Nguyen Van Khanh
Phone: 0901234567
Email: nhkyn.0410@gmail.com
Payment: Tiền mặt</t>
  </si>
  <si>
    <t>1) Đăng nhập
2) Tìm chuyến xe
3) Chọn chuyến
4) Chọn ghế trống
5) Chọn điểm đón/trả
6) Click "Tiếp tục"
7) Nhập Họ tên, SĐT, Email
8) Click "Tiếp tục thanh toán"
9) Chọn "Thanh toán khi lên xe"
10) Click "Xác nhận đặt vé"</t>
  </si>
  <si>
    <t>Đặt vé thành công, hiển thị trang xác nhận booking</t>
  </si>
  <si>
    <t>TC_BK_002</t>
  </si>
  <si>
    <t>DT: Tên hợp lệ, SĐT hợp lệ, Email hợp lệ - chuyển sang thanh toán</t>
  </si>
  <si>
    <t>Name: Nguyen Van A
Phone: 0901234567
Email: test@example.com</t>
  </si>
  <si>
    <t>1) Đến bước nhập thông tin hành khách
2) Nhập Họ tên
3) Nhập SĐT
4) Nhập Email
5) Click "Tiếp tục thanh toán"</t>
  </si>
  <si>
    <t>Form hợp lệ, chuyển sang bước thanh toán</t>
  </si>
  <si>
    <t>TC_BK_003</t>
  </si>
  <si>
    <t>DT: Tên trống - hiển thị lỗi</t>
  </si>
  <si>
    <t>Name: (trống)
Phone: 0901234567
Email: test@example.com</t>
  </si>
  <si>
    <t>1) Đến bước nhập TT
2) Để trống Họ tên
3) Nhập SĐT, Email
4) Click "Tiếp tục thanh toán"</t>
  </si>
  <si>
    <t>Hiển thị lỗi: "Vui lòng nhập họ tên"</t>
  </si>
  <si>
    <t>TC_BK_004</t>
  </si>
  <si>
    <t>DT: SĐT trống - hiển thị lỗi</t>
  </si>
  <si>
    <t>Name: Nguyen Van A
Phone: (trống)
Email: test@example.com</t>
  </si>
  <si>
    <t>1) Đến bước nhập TT
2) Nhập Họ tên
3) Để trống SĐT
4) Nhập Email
5) Click "Tiếp tục thanh toán"</t>
  </si>
  <si>
    <t>Hiển thị lỗi: "Vui lòng nhập số điện thoại"</t>
  </si>
  <si>
    <t>TC_BK_005</t>
  </si>
  <si>
    <t>DT: Email trống - hiển thị lỗi</t>
  </si>
  <si>
    <t>Name: Nguyen Van A
Phone: 0901234567
Email: (trống)</t>
  </si>
  <si>
    <t>1) Đến bước nhập TT
2) Nhập Họ tên, SĐT
3) Để trống Email
4) Click "Tiếp tục thanh toán"</t>
  </si>
  <si>
    <t>Hiển thị lỗi: "Vui lòng nhập email"</t>
  </si>
  <si>
    <t>TC_BK_006</t>
  </si>
  <si>
    <t>DT: Tất cả trường trống</t>
  </si>
  <si>
    <t>Name: (trống)
Phone: (trống)
Email: (trống)</t>
  </si>
  <si>
    <t>1) Đến bước nhập TT
2) Để trống tất cả
3) Click "Tiếp tục thanh toán"</t>
  </si>
  <si>
    <t>Hiển thị 3 lỗi validation đồng thời</t>
  </si>
  <si>
    <t>TC_BK_007</t>
  </si>
  <si>
    <t>BVA: SĐT 9 chữ số (dưới biên min)</t>
  </si>
  <si>
    <t>Phone: 091234567 (9 số)</t>
  </si>
  <si>
    <t>1) Nhập SĐT 9 chữ số
2) Điền các trường khác hợp lệ
3) Click "Tiếp tục thanh toán"</t>
  </si>
  <si>
    <t>TC_BK_008</t>
  </si>
  <si>
    <t>BVA: SĐT đúng 10 chữ số (đúng biên)</t>
  </si>
  <si>
    <t>Phone: 0912345678 (10 số)</t>
  </si>
  <si>
    <t>1) Nhập SĐT đúng 10 số
2) Điền các trường khác hợp lệ
3) Click "Tiếp tục thanh toán"</t>
  </si>
  <si>
    <t>Không lỗi SĐT, chuyển sang bước thanh toán</t>
  </si>
  <si>
    <t>TC_BK_009</t>
  </si>
  <si>
    <t>BVA: SĐT 11 chữ số (trên biên max)</t>
  </si>
  <si>
    <t>Phone: 09123456789 (11 số)</t>
  </si>
  <si>
    <t>1) Nhập SĐT 11 số
2) Điền các trường khác hợp lệ
3) Click "Tiếp tục thanh toán"</t>
  </si>
  <si>
    <t>TC_BK_010</t>
  </si>
  <si>
    <t>EP: SĐT chứa chữ cái</t>
  </si>
  <si>
    <t>Phone: abcdefghij</t>
  </si>
  <si>
    <t>1) Nhập SĐT chứa chữ
2) Điền các trường khác hợp lệ
3) Click "Tiếp tục thanh toán"</t>
  </si>
  <si>
    <t>TC_BK_011</t>
  </si>
  <si>
    <t>EP: SĐT không bắt đầu bằng 0</t>
  </si>
  <si>
    <t>Phone: 1234567890</t>
  </si>
  <si>
    <t>1) Nhập SĐT không bắt đầu bằng 0
2) Click "Tiếp tục thanh toán"</t>
  </si>
  <si>
    <t>TC_BK_012</t>
  </si>
  <si>
    <t>EP: Email thiếu @</t>
  </si>
  <si>
    <t>Email: not-an-email</t>
  </si>
  <si>
    <t>1) Nhập email thiếu @
2) Click "Tiếp tục thanh toán"</t>
  </si>
  <si>
    <t>TC_BK_013</t>
  </si>
  <si>
    <t>EP: Email thiếu domain</t>
  </si>
  <si>
    <t>Email: test@</t>
  </si>
  <si>
    <t>1) Nhập email thiếu domain
2) Click "Tiếp tục thanh toán"</t>
  </si>
  <si>
    <t>TC_BK_014</t>
  </si>
  <si>
    <t>EP: Email thiếu local part</t>
  </si>
  <si>
    <t>Email: @example.com</t>
  </si>
  <si>
    <t>1) Nhập email thiếu local part
2) Click "Tiếp tục thanh toán"</t>
  </si>
  <si>
    <t>TC_BK_015</t>
  </si>
  <si>
    <t>Áp dụng voucher hợp lệ</t>
  </si>
  <si>
    <t>Voucher code: GIAM10</t>
  </si>
  <si>
    <t>1) Tại bước thanh toán
2) Nhập mã voucher
3) Click "Áp dụng"</t>
  </si>
  <si>
    <t>Voucher được áp dụng, tổng tiền giảm theo % chiết khấu</t>
  </si>
  <si>
    <t>TC_BK_016</t>
  </si>
  <si>
    <t>Áp dụng voucher không hợp lệ / hết hạn</t>
  </si>
  <si>
    <t>Voucher code: FAKECODE</t>
  </si>
  <si>
    <t>1) Tại bước thanh toán
2) Nhập mã voucher không tồn tại
3) Click "Áp dụng"</t>
  </si>
  <si>
    <t>Hiển thị lỗi: "Mã voucher không hợp lệ hoặc đã hết hạn"</t>
  </si>
  <si>
    <t>TC_PAY_001</t>
  </si>
  <si>
    <t>Hiển thị bước chọn phương thức thanh toán</t>
  </si>
  <si>
    <t>Đã điền thông tin hành khách hợp lệ</t>
  </si>
  <si>
    <t>1) Hoàn tất bước nhập thông tin
2) Click "Tiếp tục thanh toán"</t>
  </si>
  <si>
    <t>Hiển thị các phương thức: VNPay, Thanh toán khi lên xe (tiền mặt)</t>
  </si>
  <si>
    <t>TC_PAY_002</t>
  </si>
  <si>
    <t>Thanh toán tiền mặt thành công</t>
  </si>
  <si>
    <t>Payment: Tiền mặt</t>
  </si>
  <si>
    <t>1) Chọn "Thanh toán khi lên xe"
2) Click "Xác nhận đặt vé"</t>
  </si>
  <si>
    <t>Đặt vé thành công, chuyển sang trang xác nhận, hiển thị mã booking</t>
  </si>
  <si>
    <t>TC_PAY_003</t>
  </si>
  <si>
    <t>Thanh toán VNPay - chuyển hướng đến cổng thanh toán</t>
  </si>
  <si>
    <t>Payment: VNPay</t>
  </si>
  <si>
    <t>1) Chọn "Thanh toán VNPay"
2) Click "Xác nhận đặt vé"</t>
  </si>
  <si>
    <t>Chuyển hướng đến cổng thanh toán VNPay</t>
  </si>
  <si>
    <t>TC_PAY_004</t>
  </si>
  <si>
    <t>Hiển thị chi tiết đơn hàng trước khi thanh toán</t>
  </si>
  <si>
    <t>Đã chọn ghế, điền thông tin</t>
  </si>
  <si>
    <t>1) Tại bước thanh toán
2) Xem thông tin đơn hàng</t>
  </si>
  <si>
    <t>Hiển thị: tuyến đường, ngày giờ, ghế đã chọn, giá vé, tổng tiền</t>
  </si>
  <si>
    <t>TC_PAY_005</t>
  </si>
  <si>
    <t>Xác nhận đặt vé mà chưa chọn phương thức thanh toán</t>
  </si>
  <si>
    <t>Chưa chọn phương thức nào</t>
  </si>
  <si>
    <t>1) Tại bước thanh toán
2) Không chọn PTTT
3) Click "Xác nhận đặt vé"</t>
  </si>
  <si>
    <t>Hiển thị cảnh báo: "Vui lòng chọn phương thức thanh toán"</t>
  </si>
  <si>
    <t>TC_TICKET_001</t>
  </si>
  <si>
    <t>Xem danh sách vé đã đặt sau khi đăng nhập</t>
  </si>
  <si>
    <t>Đăng nhập với tài khoản có vé</t>
  </si>
  <si>
    <t>1) Đăng nhập
2) Vào menu "Vé của tôi"</t>
  </si>
  <si>
    <t>Hiển thị danh sách vé đã đặt với thông tin: tuyến đường, ngày, trạng thái</t>
  </si>
  <si>
    <t>TC_TICKET_002</t>
  </si>
  <si>
    <t>Xem chi tiết 1 vé cụ thể</t>
  </si>
  <si>
    <t>Có ít nhất 1 vé đã đặt</t>
  </si>
  <si>
    <t>1) Vào "Vé của tôi"
2) Click vào 1 vé</t>
  </si>
  <si>
    <t>Hiển thị chi tiết vé: mã booking, tuyến, ngày giờ, ghế, giá, mã QR</t>
  </si>
  <si>
    <t>TC_TICKET_003</t>
  </si>
  <si>
    <t>Hiển thị mã QR trên vé</t>
  </si>
  <si>
    <t>Có vé với trạng thái "Đã xác nhận"</t>
  </si>
  <si>
    <t>1) Vào chi tiết vé
2) Xem phần mã QR</t>
  </si>
  <si>
    <t>Mã QR hiển thị rõ ràng, có thể scan được</t>
  </si>
  <si>
    <t>TC_TICKET_004</t>
  </si>
  <si>
    <t>Xem vé khi chưa đăng nhập</t>
  </si>
  <si>
    <t>Chưa đăng nhập</t>
  </si>
  <si>
    <t>1) Truy cập trực tiếp URL /my-tickets</t>
  </si>
  <si>
    <t>Chuyển hướng về trang đăng nhập</t>
  </si>
  <si>
    <t>TC_TICKET_005</t>
  </si>
  <si>
    <t>Danh sách vé rỗng (tài khoản mới)</t>
  </si>
  <si>
    <t>Đăng nhập với tài khoản chưa đặt vé nào</t>
  </si>
  <si>
    <t>1) Đăng nhập
2) Vào "Vé của tôi"</t>
  </si>
  <si>
    <t>Hiển thị thông báo "Bạn chưa có vé nào" hoặc danh sách trống</t>
  </si>
  <si>
    <t>TC_GUEST_001</t>
  </si>
  <si>
    <t>Hiển thị trang tra cứu vé</t>
  </si>
  <si>
    <t>1) Click "Tra cứu vé" trên trang chủ</t>
  </si>
  <si>
    <t>Hiển thị form tra cứu với trường SĐT hoặc Email</t>
  </si>
  <si>
    <t>TC_GUEST_002</t>
  </si>
  <si>
    <t>Gửi yêu cầu OTP bằng SĐT hợp lệ</t>
  </si>
  <si>
    <t>SĐT: 0912345678 (có vé)</t>
  </si>
  <si>
    <t>1) Nhập SĐT
2) Click "Tiếp tục"</t>
  </si>
  <si>
    <t>Chuyển sang bước nhập mã OTP</t>
  </si>
  <si>
    <t>TC_GUEST_003</t>
  </si>
  <si>
    <t>Xác thực OTP bằng mã demo 123456</t>
  </si>
  <si>
    <t>SĐT: 0912345678
OTP: 123456</t>
  </si>
  <si>
    <t>1) Nhập SĐT
2) Click "Tiếp tục"
3) Nhập mã OTP: 123456
4) Click "Xác nhận"</t>
  </si>
  <si>
    <t>Xác thực thành công, hiển thị danh sách vé liên kết với SĐT</t>
  </si>
  <si>
    <t>TC_GUEST_004</t>
  </si>
  <si>
    <t>Xác thực OTP với mã sai</t>
  </si>
  <si>
    <t>SĐT: 0912345678
OTP: 000000</t>
  </si>
  <si>
    <t>1) Nhập SĐT
2) Click "Tiếp tục"
3) Nhập mã OTP sai: 000000
4) Click "Xác nhận"</t>
  </si>
  <si>
    <t>Hiển thị lỗi: "Mã OTP không chính xác"</t>
  </si>
  <si>
    <t>TC_GUEST_005</t>
  </si>
  <si>
    <t>Tra cứu bằng email</t>
  </si>
  <si>
    <t>Email: customer1@gmail.com</t>
  </si>
  <si>
    <t>1) Nhập email
2) Click "Tiếp tục"</t>
  </si>
  <si>
    <t>TC_GUEST_006</t>
  </si>
  <si>
    <t>Tra cứu SĐT không tồn tại trong hệ thống</t>
  </si>
  <si>
    <t>SĐT: 0999999999</t>
  </si>
  <si>
    <t>1) Nhập SĐT không có vé
2) Click "Tiếp tục"</t>
  </si>
  <si>
    <t>Hiển thị thông báo: "Không tìm thấy thông tin"</t>
  </si>
  <si>
    <t>TC_GUEST_007</t>
  </si>
  <si>
    <t>Gửi yêu cầu với trường trống</t>
  </si>
  <si>
    <t>SĐT: (trống)</t>
  </si>
  <si>
    <t>1) Để trống trường SĐT/Email
2) Click "Tiếp tục"</t>
  </si>
  <si>
    <t>Hiển thị lỗi validation: "Vui lòng nhập SĐT hoặc email"</t>
  </si>
  <si>
    <t>TC_GUEST_008</t>
  </si>
  <si>
    <t>OTP hết thời gian hiệu lực</t>
  </si>
  <si>
    <t>SĐT: 0912345678
Đợi quá 5 phút</t>
  </si>
  <si>
    <t>1) Yêu cầu OTP
2) Đợi hết thời gian
3) Nhập OTP</t>
  </si>
  <si>
    <t>Hiển thị lỗi: "Mã OTP đã hết hạn"</t>
  </si>
  <si>
    <t>TC_CANCEL_001</t>
  </si>
  <si>
    <t>Hiển thị trang hủy vé</t>
  </si>
  <si>
    <t>1) Truy cập trang hủy vé</t>
  </si>
  <si>
    <t>Hiển thị form tìm kiếm booking (mã đặt vé, email, SĐT)</t>
  </si>
  <si>
    <t>TC_CANCEL_002</t>
  </si>
  <si>
    <t>Tra cứu booking hợp lệ</t>
  </si>
  <si>
    <t>Mã booking: BK000001
Email: customer1@gmail.com
SĐT: 0912345678</t>
  </si>
  <si>
    <t>1) Nhập mã booking
2) Nhập email
3) Nhập SĐT
4) Click "Tra cứu"</t>
  </si>
  <si>
    <t>Hiển thị thông tin booking: tuyến đường, ngày, ghế, giá vé, nút "Hủy vé"</t>
  </si>
  <si>
    <t>TC_CANCEL_003</t>
  </si>
  <si>
    <t>Tra cứu booking không tồn tại</t>
  </si>
  <si>
    <t>Mã booking: FAKECODE999</t>
  </si>
  <si>
    <t>1) Nhập mã booking sai
2) Click "Tra cứu"</t>
  </si>
  <si>
    <t>Hiển thị: "Không tìm thấy thông tin đặt vé"</t>
  </si>
  <si>
    <t>TC_CANCEL_004</t>
  </si>
  <si>
    <t>Hủy vé thành công</t>
  </si>
  <si>
    <t>Booking hợp lệ, chưa bắt đầu</t>
  </si>
  <si>
    <t>1) Tra cứu booking hợp lệ
2) Click "Hủy vé"
3) Xác nhận hủy</t>
  </si>
  <si>
    <t>Vé được hủy thành công, hiển thị thông tin hoàn tiền theo chính sách</t>
  </si>
  <si>
    <t>TC_CANCEL_005</t>
  </si>
  <si>
    <t>Tra cứu với tất cả trường trống</t>
  </si>
  <si>
    <t>Tất cả: (trống)</t>
  </si>
  <si>
    <t>1) Để trống tất cả trường
2) Click "Tra cứu"</t>
  </si>
  <si>
    <t>Hiển thị lỗi validation cho các trường bắt buộc</t>
  </si>
  <si>
    <t>TC_CMP_001</t>
  </si>
  <si>
    <t>Hiển thị trang tạo khiếu nại</t>
  </si>
  <si>
    <t>Đã đăng nhập</t>
  </si>
  <si>
    <t>1) Đăng nhập
2) Vào menu "Khiếu nại"
3) Click "Tạo khiếu nại"</t>
  </si>
  <si>
    <t>Hiển thị form tạo khiếu nại: chọn booking, tiêu đề, mô tả, loại khiếu nại</t>
  </si>
  <si>
    <t>TC_CMP_002</t>
  </si>
  <si>
    <t>Tạo khiếu nại thành công</t>
  </si>
  <si>
    <t>Tiêu đề: Xe khởi hành trễ
Mô tả: Xe trễ 30 phút...
Loại: Dịch vụ</t>
  </si>
  <si>
    <t>1) Điền đầy đủ thông tin
2) Click "Gửi khiếu nại"</t>
  </si>
  <si>
    <t>Khiếu nại tạo thành công, hiển thị mã khiếu nại, trạng thái "Đang xử lý"</t>
  </si>
  <si>
    <t>TC_CMP_003</t>
  </si>
  <si>
    <t>Tạo khiếu nại với trường bắt buộc trống</t>
  </si>
  <si>
    <t>Tiêu đề: (trống)</t>
  </si>
  <si>
    <t>1) Để trống tiêu đề
2) Click "Gửi khiếu nại"</t>
  </si>
  <si>
    <t>Hiển thị lỗi validation: "Vui lòng nhập tiêu đề"</t>
  </si>
  <si>
    <t>TC_CMP_004</t>
  </si>
  <si>
    <t>Xem danh sách khiếu nại đã tạo</t>
  </si>
  <si>
    <t>Đã có khiếu nại trước đó</t>
  </si>
  <si>
    <t>1) Vào menu "Khiếu nại"</t>
  </si>
  <si>
    <t>Hiển thị danh sách khiếu nại với cột: mã, tiêu đề, trạng thái, ngày tạo</t>
  </si>
  <si>
    <t>TC_CMP_005</t>
  </si>
  <si>
    <t>Xem chi tiết khiếu nại</t>
  </si>
  <si>
    <t>Đã có ít nhất 1 khiếu nại</t>
  </si>
  <si>
    <t>1) Click vào 1 khiếu nại trong danh sách</t>
  </si>
  <si>
    <t>Hiển thị chi tiết: tiêu đề, mô tả, trạng thái, lịch sử xử lý, nút đánh giá</t>
  </si>
  <si>
    <t>TC_CMP_006</t>
  </si>
  <si>
    <t>Đánh giá mức độ hài lòng sau khi khiếu nại được giải quyết</t>
  </si>
  <si>
    <t>Khiếu nại có trạng thái "Đã giải quyết"</t>
  </si>
  <si>
    <t>1) Vào chi tiết khiếu nại đã giải quyết
2) Chọn mức đánh giá (1-5 sao)
3) Nhập nhận xét
4) Click "Gửi đánh giá"</t>
  </si>
  <si>
    <t>Đánh giá được lưu thành công</t>
  </si>
  <si>
    <t>TC_PROFILE_001</t>
  </si>
  <si>
    <t>Hiển thị trang hồ sơ cá nhân</t>
  </si>
  <si>
    <t>1) Đăng nhập
2) Click vào avatar/tên
3) Chọn "Hồ sơ cá nhân"</t>
  </si>
  <si>
    <t>Hiển thị thông tin: họ tên, email, SĐT, avatar</t>
  </si>
  <si>
    <t>TC_PROFILE_002</t>
  </si>
  <si>
    <t>Cập nhật họ tên thành công</t>
  </si>
  <si>
    <t>Họ tên mới: Nguyen Van Updated</t>
  </si>
  <si>
    <t>1) Vào hồ sơ
2) Sửa trường họ tên
3) Click "Lưu"</t>
  </si>
  <si>
    <t>Cập nhật thành công, tên mới hiển thị</t>
  </si>
  <si>
    <t>TC_PROFILE_003</t>
  </si>
  <si>
    <t>Cập nhật SĐT thành công</t>
  </si>
  <si>
    <t>SĐT mới: 0909876543</t>
  </si>
  <si>
    <t>1) Vào hồ sơ
2) Sửa trường SĐT
3) Click "Lưu"</t>
  </si>
  <si>
    <t>Cập nhật thành công</t>
  </si>
  <si>
    <t>TC_PROFILE_004</t>
  </si>
  <si>
    <t>Đổi mật khẩu thành công</t>
  </si>
  <si>
    <t>MK cũ: Nhkhanh@0410
MK mới: NewPass@123
Xác nhận: NewPass@123</t>
  </si>
  <si>
    <t>1) Click "Đổi mật khẩu"
2) Nhập mật khẩu cũ
3) Nhập mật khẩu mới
4) Xác nhận
5) Click "Lưu"</t>
  </si>
  <si>
    <t>Đổi mật khẩu thành công, có thể đăng nhập bằng mật khẩu mới</t>
  </si>
  <si>
    <t>TC_PROFILE_005</t>
  </si>
  <si>
    <t>Đổi mật khẩu với mật khẩu cũ sai</t>
  </si>
  <si>
    <t>MK cũ: SaiMatKhau
MK mới: NewPass@123</t>
  </si>
  <si>
    <t>1) Click "Đổi mật khẩu"
2) Nhập mật khẩu cũ sai
3) Nhập mật khẩu mới
4) Click "Lưu"</t>
  </si>
  <si>
    <t>Hiển thị lỗi: "Mật khẩu cũ không đúng"</t>
  </si>
  <si>
    <t>TC_PROFILE_006</t>
  </si>
  <si>
    <t>Upload avatar</t>
  </si>
  <si>
    <t>File: avatar.jpg (&lt; 5MB)</t>
  </si>
  <si>
    <t>1) Vào hồ sơ
2) Click vào avatar
3) Chọn file ảnh
4) Click "Lưu"</t>
  </si>
  <si>
    <t>Avatar cập nhật thành công, hiển thị ảnh mới</t>
  </si>
  <si>
    <t>TC_LOYALTY_001</t>
  </si>
  <si>
    <t>Hiển thị trang tích điểm thưởng</t>
  </si>
  <si>
    <t>Đăng nhập tài khoản có điểm</t>
  </si>
  <si>
    <t>1) Đăng nhập
2) Vào menu "Điểm thưởng"</t>
  </si>
  <si>
    <t>Hiển thị: tổng điểm hiện tại, hạng thành viên (Bronze/Silver/Gold)</t>
  </si>
  <si>
    <t>TC_LOYALTY_002</t>
  </si>
  <si>
    <t>Xem lịch sử tích điểm</t>
  </si>
  <si>
    <t>Tài khoản đã có lịch sử booking</t>
  </si>
  <si>
    <t>1) Vào "Điểm thưởng"
2) Click tab "Lịch sử"</t>
  </si>
  <si>
    <t>Hiển thị danh sách: ngày, mô tả, điểm cộng/trừ, số dư</t>
  </si>
  <si>
    <t>TC_LOYALTY_003</t>
  </si>
  <si>
    <t>Xem quyền lợi theo hạng thành viên</t>
  </si>
  <si>
    <t>1) Vào "Điểm thưởng"
2) Xem phần quyền lợi</t>
  </si>
  <si>
    <t>Hiển thị quyền lợi tương ứng với hạng hiện tại</t>
  </si>
  <si>
    <t>TC_LOYALTY_004</t>
  </si>
  <si>
    <t>Đổi điểm thưởng lấy voucher</t>
  </si>
  <si>
    <t>Tài khoản có đủ điểm</t>
  </si>
  <si>
    <t>1) Vào "Điểm thưởng"
2) Click "Đổi điểm"
3) Chọn voucher muốn đổi
4) Xác nhận</t>
  </si>
  <si>
    <t>Điểm bị trừ, voucher được thêm vào tài khoản</t>
  </si>
  <si>
    <t>TC_LOYALTY_005</t>
  </si>
  <si>
    <t>Đổi điểm khi không đủ điểm</t>
  </si>
  <si>
    <t>Tài khoản thiếu điểm</t>
  </si>
  <si>
    <t>1) Vào "Đổi điểm"
2) Chọn voucher yêu cầu nhiều điểm
3) Click "Đổi"</t>
  </si>
  <si>
    <t>Hiển thị thông báo: "Bạn không đủ điểm để đổi"</t>
  </si>
  <si>
    <t>TC_OP_AUTH_001</t>
  </si>
  <si>
    <t>Hiển thị form đăng nhập nhà xe</t>
  </si>
  <si>
    <t>1) Truy cập /operator/login</t>
  </si>
  <si>
    <t>Hiển thị form đăng nhập nhà xe: Email, Mật khẩu</t>
  </si>
  <si>
    <t>TC_OP_AUTH_002</t>
  </si>
  <si>
    <t>Đăng nhập nhà xe thành công</t>
  </si>
  <si>
    <t>Email: operator1@quikride.com
Password: operator123</t>
  </si>
  <si>
    <t>1) Nhập Email
2) Nhập Mật khẩu
3) Click "Đăng nhập"</t>
  </si>
  <si>
    <t>Đăng nhập thành công, chuyển đến dashboard nhà xe</t>
  </si>
  <si>
    <t>TC_OP_AUTH_003</t>
  </si>
  <si>
    <t>Đăng nhập nhà xe với thông tin sai</t>
  </si>
  <si>
    <t>Email: fake@gmail.com
Password: wrong</t>
  </si>
  <si>
    <t>1) Nhập Email sai
2) Nhập Mật khẩu sai
3) Click "Đăng nhập"</t>
  </si>
  <si>
    <t>TC_OP_AUTH_004</t>
  </si>
  <si>
    <t>Đăng nhập nhà xe với trường trống</t>
  </si>
  <si>
    <t>1) Để trống cả 2 trường
2) Click "Đăng nhập"</t>
  </si>
  <si>
    <t>Hiển thị lỗi validation</t>
  </si>
  <si>
    <t>TC_OP_AUTH_005</t>
  </si>
  <si>
    <t>Hiển thị form đăng ký nhà xe</t>
  </si>
  <si>
    <t>1) Truy cập /operator/register</t>
  </si>
  <si>
    <t>Hiển thị form: tên công ty, email, SĐT, GPKD, MST, mật khẩu</t>
  </si>
  <si>
    <t>TC_OP_AUTH_006</t>
  </si>
  <si>
    <t>Đăng ký nhà xe thành công</t>
  </si>
  <si>
    <t>Công ty: Nhà Xe Test
Email: test_new@xe.com
SĐT: 0281111111
GPKD: BL-001
MST: TX-001
Password: Test@123</t>
  </si>
  <si>
    <t>1) Điền đầy đủ thông tin
2) Click "Đăng ký"</t>
  </si>
  <si>
    <t>Đăng ký thành công, chờ admin duyệt</t>
  </si>
  <si>
    <t>TC_OP_AUTH_007</t>
  </si>
  <si>
    <t>Đăng ký nhà xe với email đã tồn tại</t>
  </si>
  <si>
    <t>Email: operator1@quikride.com</t>
  </si>
  <si>
    <t>1) Nhập email đã có
2) Điền các trường khác
3) Click "Đăng ký"</t>
  </si>
  <si>
    <t>TC_OP_ROUTE_001</t>
  </si>
  <si>
    <t>Hiển thị danh sách tuyến đường</t>
  </si>
  <si>
    <t>Đăng nhập operator</t>
  </si>
  <si>
    <t>1) Đăng nhập nhà xe
2) Vào menu "Tuyến đường"</t>
  </si>
  <si>
    <t>Hiển thị bảng danh sách tuyến: tên, mã, điểm đi, điểm đến, khoảng cách, trạng thái</t>
  </si>
  <si>
    <t>TC_OP_ROUTE_002</t>
  </si>
  <si>
    <t>Tạo tuyến đường mới thành công</t>
  </si>
  <si>
    <t>Tên: HCM - Đà Lạt
Mã: RT-DL-001
Điểm đi: Quận 1
Điểm đến: TP Đà Lạt
KC: 300km</t>
  </si>
  <si>
    <t>1) Click "Thêm tuyến"
2) Điền đầy đủ thông tin
3) Click "Lưu"</t>
  </si>
  <si>
    <t>Tuyến mới xuất hiện trong danh sách</t>
  </si>
  <si>
    <t>TC_OP_ROUTE_003</t>
  </si>
  <si>
    <t>Tạo tuyến đường với trường bắt buộc trống</t>
  </si>
  <si>
    <t>Tên: (trống)</t>
  </si>
  <si>
    <t>1) Click "Thêm tuyến"
2) Để trống tên
3) Click "Lưu"</t>
  </si>
  <si>
    <t>TC_OP_ROUTE_004</t>
  </si>
  <si>
    <t>Sửa thông tin tuyến đường</t>
  </si>
  <si>
    <t>Tuyến đã có</t>
  </si>
  <si>
    <t>1) Click icon sửa bên cạnh tuyến
2) Sửa thông tin
3) Click "Lưu"</t>
  </si>
  <si>
    <t>Thông tin tuyến được cập nhật</t>
  </si>
  <si>
    <t>TC_OP_ROUTE_005</t>
  </si>
  <si>
    <t>Xóa tuyến đường</t>
  </si>
  <si>
    <t>Tuyến không có chuyến đang hoạt động</t>
  </si>
  <si>
    <t>1) Click icon xóa
2) Xác nhận xóa</t>
  </si>
  <si>
    <t>Tuyến bị xóa khỏi danh sách</t>
  </si>
  <si>
    <t>TC_OP_ROUTE_006</t>
  </si>
  <si>
    <t>Thêm điểm đón/trả cho tuyến đường</t>
  </si>
  <si>
    <t>1) Vào chi tiết tuyến
2) Click "Thêm điểm đón"
3) Nhập thông tin
4) Click "Lưu"</t>
  </si>
  <si>
    <t>Điểm đón/trả mới được thêm vào danh sách</t>
  </si>
  <si>
    <t>TC_OP_BUS_001</t>
  </si>
  <si>
    <t>Hiển thị danh sách xe</t>
  </si>
  <si>
    <t>1) Đăng nhập nhà xe
2) Vào menu "Quản lý xe"</t>
  </si>
  <si>
    <t>Hiển thị bảng: biển số, loại xe, số ghế, trạng thái</t>
  </si>
  <si>
    <t>TC_OP_BUS_002</t>
  </si>
  <si>
    <t>Thêm xe mới thành công</t>
  </si>
  <si>
    <t>Biển số: 29A-12345
Loại: Limousine
Số ghế: 34</t>
  </si>
  <si>
    <t>1) Click "Thêm xe"
2) Nhập biển số, loại xe
3) Click "Lưu"</t>
  </si>
  <si>
    <t>Xe mới xuất hiện trong danh sách</t>
  </si>
  <si>
    <t>TC_OP_BUS_003</t>
  </si>
  <si>
    <t>Thêm xe với biển số trùng</t>
  </si>
  <si>
    <t>Biển số đã có trong hệ thống</t>
  </si>
  <si>
    <t>1) Click "Thêm xe"
2) Nhập biển số đã tồn tại
3) Click "Lưu"</t>
  </si>
  <si>
    <t>Hiển thị lỗi: "Biển số xe đã tồn tại"</t>
  </si>
  <si>
    <t>TC_OP_BUS_004</t>
  </si>
  <si>
    <t>Sửa thông tin xe</t>
  </si>
  <si>
    <t>Xe đã có</t>
  </si>
  <si>
    <t>1) Click icon sửa
2) Sửa thông tin
3) Click "Lưu"</t>
  </si>
  <si>
    <t>Thông tin xe được cập nhật</t>
  </si>
  <si>
    <t>TC_OP_BUS_005</t>
  </si>
  <si>
    <t>Thay đổi trạng thái xe (active/inactive)</t>
  </si>
  <si>
    <t>Xe đang active</t>
  </si>
  <si>
    <t>1) Click toggle trạng thái xe</t>
  </si>
  <si>
    <t>Trạng thái xe đổi thành inactive</t>
  </si>
  <si>
    <t>TC_OP_EMP_001</t>
  </si>
  <si>
    <t>Hiển thị danh sách nhân viên</t>
  </si>
  <si>
    <t>1) Đăng nhập nhà xe
2) Vào menu "Nhân viên"</t>
  </si>
  <si>
    <t>Hiển thị bảng: mã NV, tên, email, vai trò (tài xế/quản lý chuyến), trạng thái</t>
  </si>
  <si>
    <t>TC_OP_EMP_002</t>
  </si>
  <si>
    <t>Thêm nhân viên mới (tài xế)</t>
  </si>
  <si>
    <t>Mã: DRV-TEST-001
Tên: Tài Xế Test
Email: driver_test@test.com
Vai trò: Driver</t>
  </si>
  <si>
    <t>1) Click "Thêm nhân viên"
2) Điền thông tin
3) Chọn vai trò "Tài xế"
4) Click "Lưu"</t>
  </si>
  <si>
    <t>Nhân viên mới xuất hiện trong danh sách với vai trò Tài xế</t>
  </si>
  <si>
    <t>TC_OP_EMP_003</t>
  </si>
  <si>
    <t>Thêm nhân viên mới (Trip Manager)</t>
  </si>
  <si>
    <t>Mã: TM-TEST-001
Vai trò: Trip Manager</t>
  </si>
  <si>
    <t>1) Click "Thêm nhân viên"
2) Chọn vai trò "Quản lý chuyến"
3) Điền thông tin
4) Click "Lưu"</t>
  </si>
  <si>
    <t>Nhân viên mới với vai trò Trip Manager</t>
  </si>
  <si>
    <t>TC_OP_EMP_004</t>
  </si>
  <si>
    <t>Sửa thông tin nhân viên</t>
  </si>
  <si>
    <t>NV đã có</t>
  </si>
  <si>
    <t>Thông tin nhân viên cập nhật thành công</t>
  </si>
  <si>
    <t>TC_OP_EMP_005</t>
  </si>
  <si>
    <t>Thêm nhân viên với mã trùng</t>
  </si>
  <si>
    <t>Mã NV đã tồn tại</t>
  </si>
  <si>
    <t>1) Nhập mã NV đã có
2) Click "Lưu"</t>
  </si>
  <si>
    <t>Hiển thị lỗi: "Mã nhân viên đã tồn tại"</t>
  </si>
  <si>
    <t>TC_OP_TRIP_001</t>
  </si>
  <si>
    <t>Hiển thị danh sách chuyến xe</t>
  </si>
  <si>
    <t>1) Đăng nhập nhà xe
2) Vào menu "Chuyến xe"</t>
  </si>
  <si>
    <t>Hiển thị bảng: mã chuyến, tuyến, ngày giờ, xe, tài xế, trạng thái, số ghế đã đặt</t>
  </si>
  <si>
    <t>TC_OP_TRIP_002</t>
  </si>
  <si>
    <t>Tạo chuyến xe mới thành công</t>
  </si>
  <si>
    <t>Tuyến: HCM-Vũng Tàu
Xe: 29A-12345
Ngày: 20/04/2026
Giờ: 08:00
Giá: 150000</t>
  </si>
  <si>
    <t>1) Click "Tạo chuyến"
2) Chọn tuyến, xe, tài xế
3) Chọn ngày giờ
4) Nhập giá
5) Click "Lưu"</t>
  </si>
  <si>
    <t>Chuyến mới xuất hiện trong danh sách, trạng thái "Scheduled"</t>
  </si>
  <si>
    <t>TC_OP_TRIP_003</t>
  </si>
  <si>
    <t>Tạo chuyến xe với ngày trong quá khứ</t>
  </si>
  <si>
    <t>Ngày: 01/01/2020</t>
  </si>
  <si>
    <t>1) Click "Tạo chuyến"
2) Chọn ngày quá khứ
3) Click "Lưu"</t>
  </si>
  <si>
    <t>Hiển thị lỗi: "Giờ khởi hành phải trong tương lai"</t>
  </si>
  <si>
    <t>TC_OP_TRIP_004</t>
  </si>
  <si>
    <t>Sửa thông tin chuyến xe</t>
  </si>
  <si>
    <t>Chuyến chưa khởi hành</t>
  </si>
  <si>
    <t>1) Click icon sửa
2) Sửa giá vé
3) Click "Lưu"</t>
  </si>
  <si>
    <t>Thông tin chuyến cập nhật thành công</t>
  </si>
  <si>
    <t>TC_OP_TRIP_005</t>
  </si>
  <si>
    <t>Tạo chuyến xe lặp lại</t>
  </si>
  <si>
    <t>Lặp lại: Hàng ngày, 7 ngày</t>
  </si>
  <si>
    <t>1) Click "Tạo chuyến"
2) Bật "Chuyến lặp lại"
3) Chọn tần suất
4) Click "Lưu"</t>
  </si>
  <si>
    <t>Tạo ra nhiều chuyến theo lịch lặp lại</t>
  </si>
  <si>
    <t>TC_OP_VCH_001</t>
  </si>
  <si>
    <t>Hiển thị danh sách voucher</t>
  </si>
  <si>
    <t>1) Đăng nhập nhà xe
2) Vào menu "Voucher"</t>
  </si>
  <si>
    <t>Hiển thị bảng: mã, mô tả, % giảm, ngày bắt đầu, ngày kết thúc, trạng thái</t>
  </si>
  <si>
    <t>TC_OP_VCH_002</t>
  </si>
  <si>
    <t>Tạo voucher mới thành công</t>
  </si>
  <si>
    <t>Mã: GIAM20
Mô tả: Giảm 20%
Giá trị: 20%
Bắt đầu: hôm nay
Kết thúc: +30 ngày</t>
  </si>
  <si>
    <t>1) Click "Tạo voucher"
2) Nhập mã, mô tả, giá trị
3) Chọn ngày
4) Click "Lưu"</t>
  </si>
  <si>
    <t>Voucher mới xuất hiện trong danh sách, trạng thái "Active"</t>
  </si>
  <si>
    <t>TC_OP_VCH_003</t>
  </si>
  <si>
    <t>Tạo voucher với mã trùng</t>
  </si>
  <si>
    <t>Mã voucher đã tồn tại</t>
  </si>
  <si>
    <t>1) Nhập mã voucher đã có
2) Click "Lưu"</t>
  </si>
  <si>
    <t>Hiển thị lỗi: "Mã voucher đã tồn tại"</t>
  </si>
  <si>
    <t>TC_OP_VCH_004</t>
  </si>
  <si>
    <t>Vô hiệu hóa voucher</t>
  </si>
  <si>
    <t>Voucher đang active</t>
  </si>
  <si>
    <t>1) Click toggle trạng thái voucher</t>
  </si>
  <si>
    <t>Voucher chuyển sang "Inactive"</t>
  </si>
  <si>
    <t>TC_OP_VCH_005</t>
  </si>
  <si>
    <t>Kích hoạt lại voucher</t>
  </si>
  <si>
    <t>Voucher đang inactive</t>
  </si>
  <si>
    <t>Voucher chuyển sang "Active"</t>
  </si>
  <si>
    <t>TC_OP_VCH_006</t>
  </si>
  <si>
    <t>Tìm kiếm voucher theo mã</t>
  </si>
  <si>
    <t>Từ khóa: GIAM</t>
  </si>
  <si>
    <t>1) Nhập từ khóa vào ô tìm kiếm
2) Enter</t>
  </si>
  <si>
    <t>Hiển thị các voucher có mã chứa "GIAM"</t>
  </si>
  <si>
    <t>TC_OP_RPT_001</t>
  </si>
  <si>
    <t>Hiển thị trang báo cáo doanh thu</t>
  </si>
  <si>
    <t>1) Đăng nhập nhà xe
2) Vào menu "Báo cáo"</t>
  </si>
  <si>
    <t>Hiển thị thống kê: tổng doanh thu, tổng booking, tỷ lệ hủy, biểu đồ</t>
  </si>
  <si>
    <t>TC_OP_RPT_002</t>
  </si>
  <si>
    <t>Lọc báo cáo theo khoảng thời gian</t>
  </si>
  <si>
    <t>Từ: 01/03/2026
Đến: 31/03/2026</t>
  </si>
  <si>
    <t>1) Chọn ngày bắt đầu
2) Chọn ngày kết thúc
3) Click "Lọc"</t>
  </si>
  <si>
    <t>Dữ liệu báo cáo cập nhật theo khoảng thời gian đã chọn</t>
  </si>
  <si>
    <t>TC_OP_RPT_003</t>
  </si>
  <si>
    <t>Xem biểu đồ doanh thu</t>
  </si>
  <si>
    <t>1) Vào trang báo cáo
2) Xem phần biểu đồ</t>
  </si>
  <si>
    <t>Hiển thị biểu đồ doanh thu theo ngày/tuần/tháng</t>
  </si>
  <si>
    <t>TC_OP_RPT_004</t>
  </si>
  <si>
    <t>Xem thống kê theo tuyến đường</t>
  </si>
  <si>
    <t>1) Vào báo cáo
2) Chọn tab "Theo tuyến"</t>
  </si>
  <si>
    <t>Hiển thị doanh thu và số booking cho từng tuyến đường</t>
  </si>
  <si>
    <t>TC_TM_AUTH_001</t>
  </si>
  <si>
    <t>Hiển thị form đăng nhập Trip Manager</t>
  </si>
  <si>
    <t>1) Truy cập /trip-manager/login</t>
  </si>
  <si>
    <t>Hiển thị form: Mã nhân viên, Mật khẩu</t>
  </si>
  <si>
    <t>TC_TM_AUTH_002</t>
  </si>
  <si>
    <t>Đăng nhập TM thành công</t>
  </si>
  <si>
    <t>Mã NV: TM-PT-001
Password: manager123</t>
  </si>
  <si>
    <t>1) Nhập mã nhân viên
2) Nhập mật khẩu
3) Click "Đăng nhập"</t>
  </si>
  <si>
    <t>Đăng nhập thành công, chuyển đến dashboard Trip Manager</t>
  </si>
  <si>
    <t>TC_TM_AUTH_003</t>
  </si>
  <si>
    <t>Đăng nhập TM với mã NV sai</t>
  </si>
  <si>
    <t>Mã NV: TM-FAKE-999
Password: manager123</t>
  </si>
  <si>
    <t>1) Nhập mã NV không tồn tại
2) Nhập mật khẩu
3) Click "Đăng nhập"</t>
  </si>
  <si>
    <t>Hiển thị lỗi đăng nhập</t>
  </si>
  <si>
    <t>TC_TM_AUTH_004</t>
  </si>
  <si>
    <t>Đăng nhập TM với mật khẩu sai</t>
  </si>
  <si>
    <t>Mã NV: TM-PT-001
Password: wrongpass</t>
  </si>
  <si>
    <t>1) Nhập mã NV đúng
2) Nhập mật khẩu sai
3) Click "Đăng nhập"</t>
  </si>
  <si>
    <t>Hiển thị lỗi: "Mã nhân viên hoặc mật khẩu không đúng"</t>
  </si>
  <si>
    <t>TC_TM_AUTH_005</t>
  </si>
  <si>
    <t>Đăng nhập TM với trường trống</t>
  </si>
  <si>
    <t>Mã NV: (trống)
Password: (trống)</t>
  </si>
  <si>
    <t>1) Để trống cả 2
2) Click "Đăng nhập"</t>
  </si>
  <si>
    <t>TC_TM_QR_001</t>
  </si>
  <si>
    <t>Hiển thị trang quét QR</t>
  </si>
  <si>
    <t>Đăng nhập TM</t>
  </si>
  <si>
    <t>1) Đăng nhập Trip Manager
2) Click "Quét vé"</t>
  </si>
  <si>
    <t>Hiển thị camera scanner để quét QR code</t>
  </si>
  <si>
    <t>TC_TM_QR_002</t>
  </si>
  <si>
    <t>Quét QR vé hợp lệ - check-in thành công</t>
  </si>
  <si>
    <t>Vé có trạng thái "Confirmed"</t>
  </si>
  <si>
    <t>1) Mở camera scanner
2) Quét mã QR trên vé</t>
  </si>
  <si>
    <t>Hiển thị thông tin vé, check-in thành công, trạng thái vé → "Checked-in"</t>
  </si>
  <si>
    <t>TC_TM_QR_003</t>
  </si>
  <si>
    <t>Quét QR vé đã check-in rồi</t>
  </si>
  <si>
    <t>Vé đã "Checked-in"</t>
  </si>
  <si>
    <t>1) Quét lại mã QR đã check-in</t>
  </si>
  <si>
    <t>Hiển thị cảnh báo: "Vé đã được check-in trước đó"</t>
  </si>
  <si>
    <t>TC_TM_QR_004</t>
  </si>
  <si>
    <t>Quét QR vé đã hủy</t>
  </si>
  <si>
    <t>Vé đã bị hủy</t>
  </si>
  <si>
    <t>1) Quét mã QR vé đã hủy</t>
  </si>
  <si>
    <t>Hiển thị lỗi: "Vé đã bị hủy, không hợp lệ"</t>
  </si>
  <si>
    <t>TC_TM_QR_005</t>
  </si>
  <si>
    <t>Xem danh sách hành khách đã check-in</t>
  </si>
  <si>
    <t>Đã có hành khách check-in</t>
  </si>
  <si>
    <t>1) Vào tab "Danh sách hành khách"</t>
  </si>
  <si>
    <t>Hiển thị danh sách: tên, ghế, trạng thái check-in, giờ check-in</t>
  </si>
  <si>
    <t>TC_TM_STATUS_001</t>
  </si>
  <si>
    <t>Hiển thị danh sách chuyến được phân công</t>
  </si>
  <si>
    <t>1) Đăng nhập Trip Manager
2) Xem dashboard</t>
  </si>
  <si>
    <t>Hiển thị chuyến được phân công: tuyến, ngày giờ, trạng thái</t>
  </si>
  <si>
    <t>TC_TM_STATUS_002</t>
  </si>
  <si>
    <t>Bắt đầu chuyến (Scheduled → In Progress)</t>
  </si>
  <si>
    <t>Chuyến đang "Scheduled"</t>
  </si>
  <si>
    <t>1) Click "Bắt đầu chuyến"
2) Xác nhận</t>
  </si>
  <si>
    <t>Trạng thái chuyến đổi thành "In Progress"</t>
  </si>
  <si>
    <t>TC_TM_STATUS_003</t>
  </si>
  <si>
    <t>Hoàn thành chuyến (In Progress → Completed)</t>
  </si>
  <si>
    <t>Chuyến đang "In Progress"</t>
  </si>
  <si>
    <t>1) Click "Hoàn thành chuyến"
2) Xác nhận</t>
  </si>
  <si>
    <t>Trạng thái chuyến đổi thành "Completed"</t>
  </si>
  <si>
    <t>TC_TM_STATUS_004</t>
  </si>
  <si>
    <t>Đăng xuất khỏi Trip Manager</t>
  </si>
  <si>
    <t>Đã đăng nhập TM</t>
  </si>
  <si>
    <t>1) Click "Đăng xuất"</t>
  </si>
  <si>
    <t>Đăng xuất thành công, chuyển về trang đăng nhập TM</t>
  </si>
  <si>
    <t>TC_ADM_AUTH_001</t>
  </si>
  <si>
    <t>Hiển thị form đăng nhập Admin</t>
  </si>
  <si>
    <t>1) Truy cập /admin/login</t>
  </si>
  <si>
    <t>Hiển thị form: Email, Mật khẩu</t>
  </si>
  <si>
    <t>TC_ADM_AUTH_002</t>
  </si>
  <si>
    <t>Đăng nhập Admin thành công</t>
  </si>
  <si>
    <t>Email: admin@quikride.com
Password: admin123</t>
  </si>
  <si>
    <t>Đăng nhập thành công, chuyển đến Admin Dashboard</t>
  </si>
  <si>
    <t>TC_ADM_AUTH_003</t>
  </si>
  <si>
    <t>Đăng nhập Admin với thông tin sai</t>
  </si>
  <si>
    <t>1) Nhập thông tin sai
2) Click "Đăng nhập"</t>
  </si>
  <si>
    <t>TC_ADM_AUTH_004</t>
  </si>
  <si>
    <t>Đăng nhập Admin với trường trống</t>
  </si>
  <si>
    <t>TC_ADM_AUTH_005</t>
  </si>
  <si>
    <t>Truy cập Admin dashboard khi chưa đăng nhập</t>
  </si>
  <si>
    <t>1) Truy cập trực tiếp /admin</t>
  </si>
  <si>
    <t>Chuyển hướng về trang đăng nhập admin</t>
  </si>
  <si>
    <t>TC_ADM_OP_001</t>
  </si>
  <si>
    <t>Hiển thị danh sách nhà xe</t>
  </si>
  <si>
    <t>Đăng nhập admin</t>
  </si>
  <si>
    <t>1) Đăng nhập Admin
2) Vào menu "Quản lý nhà xe"</t>
  </si>
  <si>
    <t>Hiển thị bảng: tên công ty, email, SĐT, trạng thái (pending/active/suspended)</t>
  </si>
  <si>
    <t>TC_ADM_OP_002</t>
  </si>
  <si>
    <t>Tìm kiếm nhà xe theo tên</t>
  </si>
  <si>
    <t>Từ khóa: Phương Trang</t>
  </si>
  <si>
    <t>Hiển thị kết quả chứa "Phương Trang"</t>
  </si>
  <si>
    <t>TC_ADM_OP_003</t>
  </si>
  <si>
    <t>Duyệt nhà xe mới (pending → active)</t>
  </si>
  <si>
    <t>Có nhà xe trạng thái "pending"</t>
  </si>
  <si>
    <t>1) Tìm nhà xe pending
2) Click "Duyệt"
3) Xác nhận</t>
  </si>
  <si>
    <t>Trạng thái nhà xe đổi thành "active"</t>
  </si>
  <si>
    <t>TC_ADM_OP_004</t>
  </si>
  <si>
    <t>Từ chối nhà xe (pending → rejected)</t>
  </si>
  <si>
    <t>1) Tìm nhà xe pending
2) Click "Từ chối"
3) Nhập lý do
4) Xác nhận</t>
  </si>
  <si>
    <t>Trạng thái đổi thành "rejected"</t>
  </si>
  <si>
    <t>TC_ADM_OP_005</t>
  </si>
  <si>
    <t>Tạm ngưng nhà xe (active → suspended)</t>
  </si>
  <si>
    <t>Nhà xe đang "active"</t>
  </si>
  <si>
    <t>1) Click "Tạm ngưng"
2) Nhập lý do
3) Xác nhận</t>
  </si>
  <si>
    <t>Trạng thái đổi thành "suspended"</t>
  </si>
  <si>
    <t>TC_ADM_OP_006</t>
  </si>
  <si>
    <t>Xem chi tiết nhà xe</t>
  </si>
  <si>
    <t>1) Click vào 1 nhà xe trong danh sách</t>
  </si>
  <si>
    <t>Hiển thị chi tiết: thông tin công ty, GPKD, danh sách tuyến, xe, nhân viên</t>
  </si>
  <si>
    <t>TC_ADM_USER_001</t>
  </si>
  <si>
    <t>Hiển thị danh sách người dùng</t>
  </si>
  <si>
    <t>1) Đăng nhập Admin
2) Vào menu "Quản lý người dùng"</t>
  </si>
  <si>
    <t>Hiển thị bảng: tên, email, SĐT, vai trò, trạng thái, ngày đăng ký</t>
  </si>
  <si>
    <t>TC_ADM_USER_002</t>
  </si>
  <si>
    <t>Tìm kiếm người dùng theo email</t>
  </si>
  <si>
    <t>1) Nhập email vào ô tìm kiếm
2) Enter</t>
  </si>
  <si>
    <t>Hiển thị user có email tương ứng</t>
  </si>
  <si>
    <t>TC_ADM_USER_003</t>
  </si>
  <si>
    <t>Xem chi tiết người dùng</t>
  </si>
  <si>
    <t>1) Click vào 1 user trong danh sách</t>
  </si>
  <si>
    <t>Hiển thị chi tiết: thông tin cá nhân, lịch sử booking, điểm thưởng</t>
  </si>
  <si>
    <t>TC_ADM_USER_004</t>
  </si>
  <si>
    <t>Khóa tài khoản người dùng</t>
  </si>
  <si>
    <t>User đang active</t>
  </si>
  <si>
    <t>1) Click "Khóa tài khoản"
2) Nhập lý do
3) Xác nhận</t>
  </si>
  <si>
    <t>Tài khoản bị khóa, user không thể đăng nhập</t>
  </si>
  <si>
    <t>TC_ADM_USER_005</t>
  </si>
  <si>
    <t>Mở khóa tài khoản người dùng</t>
  </si>
  <si>
    <t>User đã bị khóa</t>
  </si>
  <si>
    <t>1) Click "Mở khóa"
2) Xác nhận</t>
  </si>
  <si>
    <t>Tài khoản được mở khóa, user có thể đăng nhập lại</t>
  </si>
  <si>
    <t>TC_ADM_CMP_001</t>
  </si>
  <si>
    <t>Hiển thị danh sách khiếu nại</t>
  </si>
  <si>
    <t>1) Đăng nhập Admin
2) Vào menu "Khiếu nại"</t>
  </si>
  <si>
    <t>Hiển thị bảng: mã, tiêu đề, khách hàng, nhà xe, trạng thái, ngày tạo</t>
  </si>
  <si>
    <t>TC_ADM_CMP_002</t>
  </si>
  <si>
    <t>Lọc khiếu nại theo trạng thái</t>
  </si>
  <si>
    <t>Trạng thái: Open</t>
  </si>
  <si>
    <t>1) Chọn filter "Open"
2) Áp dụng</t>
  </si>
  <si>
    <t>Chỉ hiển thị các khiếu nại đang mở</t>
  </si>
  <si>
    <t>TC_ADM_CMP_003</t>
  </si>
  <si>
    <t>1) Click vào 1 khiếu nại</t>
  </si>
  <si>
    <t>Hiển thị chi tiết: nội dung, lịch sử xử lý, phản hồi</t>
  </si>
  <si>
    <t>TC_ADM_CMP_004</t>
  </si>
  <si>
    <t>Phân công khiếu nại cho nhà xe</t>
  </si>
  <si>
    <t>Khiếu nại chưa phân công</t>
  </si>
  <si>
    <t>1) Mở chi tiết khiếu nại
2) Click "Phân công"
3) Chọn nhà xe
4) Xác nhận</t>
  </si>
  <si>
    <t>Khiếu nại được phân công, trạng thái → "In Progress"</t>
  </si>
  <si>
    <t>TC_ADM_CMP_005</t>
  </si>
  <si>
    <t>Đóng khiếu nại đã giải quyết</t>
  </si>
  <si>
    <t>Khiếu nại đang "In Progress"</t>
  </si>
  <si>
    <t>1) Mở chi tiết
2) Nhập kết quả xử lý
3) Click "Đóng khiếu nại"</t>
  </si>
  <si>
    <t>Trạng thái → "Closed"</t>
  </si>
  <si>
    <t>TC_ADM_CTN_001</t>
  </si>
  <si>
    <t>Hiển thị trang quản lý nội dung</t>
  </si>
  <si>
    <t>1) Đăng nhập Admin
2) Vào menu "Quản lý nội dung"</t>
  </si>
  <si>
    <t>Hiển thị 3 tab: Banner, Blog, FAQ</t>
  </si>
  <si>
    <t>TC_ADM_CTN_002</t>
  </si>
  <si>
    <t>Xem danh sách banner</t>
  </si>
  <si>
    <t>1) Click tab "Banner"</t>
  </si>
  <si>
    <t>Hiển thị danh sách banner: tiêu đề, hình ảnh, trạng thái, thứ tự</t>
  </si>
  <si>
    <t>TC_ADM_CTN_003</t>
  </si>
  <si>
    <t>Thêm banner mới</t>
  </si>
  <si>
    <t>Tiêu đề: Banner Test
Hình: banner.jpg
Link: /promotions</t>
  </si>
  <si>
    <t>1) Click "Thêm banner"
2) Nhập tiêu đề
3) Upload hình
4) Click "Lưu"</t>
  </si>
  <si>
    <t>Banner mới xuất hiện trong danh sách</t>
  </si>
  <si>
    <t>TC_ADM_CTN_004</t>
  </si>
  <si>
    <t>Xem danh sách blog</t>
  </si>
  <si>
    <t>1) Click tab "Blog"</t>
  </si>
  <si>
    <t>Hiển thị danh sách blog: tiêu đề, tác giả, ngày đăng, trạng thái</t>
  </si>
  <si>
    <t>TC_ADM_CTN_005</t>
  </si>
  <si>
    <t>Thêm bài blog mới</t>
  </si>
  <si>
    <t>Tiêu đề: Blog Test
Nội dung: Lorem ipsum...</t>
  </si>
  <si>
    <t>1) Click "Thêm blog"
2) Nhập tiêu đề, nội dung
3) Click "Đăng"</t>
  </si>
  <si>
    <t>Blog mới xuất hiện trong danh sách</t>
  </si>
  <si>
    <t>TC_ADM_CTN_006</t>
  </si>
  <si>
    <t>Xem danh sách FAQ</t>
  </si>
  <si>
    <t>1) Click tab "FAQ"</t>
  </si>
  <si>
    <t>Hiển thị danh sách câu hỏi thường gặp</t>
  </si>
  <si>
    <t>TC_ADM_CTN_007</t>
  </si>
  <si>
    <t>Thêm FAQ mới</t>
  </si>
  <si>
    <t>Câu hỏi: Làm sao đặt vé?
Trả lời: Bạn truy cập...</t>
  </si>
  <si>
    <t>1) Click "Thêm FAQ"
2) Nhập câu hỏi và trả lời
3) Click "Lưu"</t>
  </si>
  <si>
    <t>FAQ mới xuất hiện trong danh sách</t>
  </si>
  <si>
    <t>Login</t>
  </si>
  <si>
    <t>Number of  Not Start</t>
  </si>
  <si>
    <t>Number of  Bloked</t>
  </si>
  <si>
    <t>Nguyễn Xuân Trường</t>
  </si>
  <si>
    <t>Hồ Nguyễn Phúc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</si>
</sst>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m\ dd&quot;, &quot;yyyy"/>
  </numFmts>
  <fonts count="12" x14ac:knownFonts="1">
    <font>
      <sz val="10"/>
      <color rgb="FF000000"/>
      <name val="Arial"/>
    </font>
    <font>
      <b/>
      <i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i/>
      <sz val="13"/>
      <color rgb="FF000080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i/>
      <sz val="13"/>
      <color rgb="FF993366"/>
      <name val="Times New Roman"/>
      <family val="1"/>
    </font>
    <font>
      <sz val="13"/>
      <color rgb="FF000080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CCFFCC"/>
        <bgColor rgb="FFCCFFCC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FABF8F"/>
        <bgColor rgb="FFFABF8F"/>
      </patternFill>
    </fill>
    <fill>
      <patternFill patternType="solid">
        <fgColor rgb="FFD99594"/>
        <bgColor rgb="FFD99594"/>
      </patternFill>
    </fill>
    <fill>
      <patternFill patternType="solid">
        <fgColor rgb="FFDAEEF3"/>
        <bgColor rgb="FFDAEEF3"/>
      </patternFill>
    </fill>
  </fills>
  <borders count="8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44"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/>
    <xf numFmtId="14" fontId="2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9" fontId="3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9" fontId="5" fillId="5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14" fontId="2" fillId="10" borderId="6" xfId="0" applyNumberFormat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top" wrapText="1"/>
    </xf>
    <xf numFmtId="0" fontId="6" fillId="11" borderId="7" xfId="0" applyFont="1" applyFill="1" applyBorder="1" applyAlignment="1">
      <alignment horizontal="center" vertical="top" wrapText="1"/>
    </xf>
    <xf numFmtId="0" fontId="6" fillId="11" borderId="6" xfId="0" applyFont="1" applyFill="1" applyBorder="1" applyAlignment="1">
      <alignment horizontal="center" vertical="top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top" wrapText="1"/>
    </xf>
    <xf numFmtId="0" fontId="9" fillId="6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5" fillId="3" borderId="2" xfId="0" applyFont="1" applyFill="1" applyAlignment="1">
      <alignment horizontal="center"/>
    </xf>
    <xf numFmtId="0" fontId="3" fillId="0" borderId="0" xfId="0" applyFont="1" applyBorder="1"/>
    <xf numFmtId="0" fontId="3" fillId="3" borderId="2" xfId="0" applyFont="1" applyFill="1"/>
    <xf numFmtId="0" fontId="3" fillId="3" borderId="2" xfId="0" applyFont="1" applyFill="1" applyAlignment="1">
      <alignment horizont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/>
    <xf numFmtId="164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ogi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D1:H1000"/>
  <sheetViews>
    <sheetView workbookViewId="0">
      <selection activeCell="F9" sqref="F9"/>
    </sheetView>
  </sheetViews>
  <sheetFormatPr defaultColWidth="14.42578125" defaultRowHeight="15" customHeight="1" x14ac:dyDescent="0.25"/>
  <cols>
    <col min="1" max="3" width="8.7109375" style="4" customWidth="1"/>
    <col min="4" max="4" width="18" style="4" customWidth="1"/>
    <col min="5" max="5" width="19.85546875" style="4" customWidth="1"/>
    <col min="6" max="26" width="8.7109375" style="4" customWidth="1"/>
    <col min="27" max="16384" width="14.42578125" style="4"/>
  </cols>
  <sheetData>
    <row r="1" spans="4:8" ht="60.75" customHeight="1" x14ac:dyDescent="0.25">
      <c r="D1" s="18"/>
      <c r="E1" s="18"/>
      <c r="F1" s="19" t="s">
        <v>56</v>
      </c>
    </row>
    <row r="2" spans="4:8" ht="66" customHeight="1" x14ac:dyDescent="0.25">
      <c r="D2" s="18"/>
      <c r="E2" s="18"/>
      <c r="F2" s="20" t="s">
        <v>57</v>
      </c>
    </row>
    <row r="3" spans="4:8" ht="12.75" customHeight="1" x14ac:dyDescent="0.25">
      <c r="G3" s="7"/>
      <c r="H3" s="7"/>
    </row>
    <row r="4" spans="4:8" ht="12.75" customHeight="1" x14ac:dyDescent="0.25">
      <c r="G4" s="7"/>
      <c r="H4" s="7"/>
    </row>
    <row r="5" spans="4:8" ht="18.75" customHeight="1" x14ac:dyDescent="0.25">
      <c r="D5" s="1" t="s">
        <v>58</v>
      </c>
      <c r="E5" s="2"/>
      <c r="F5" s="2"/>
      <c r="G5" s="7"/>
      <c r="H5" s="7"/>
    </row>
    <row r="6" spans="4:8" ht="19.5" customHeight="1" x14ac:dyDescent="0.25">
      <c r="D6" s="1" t="s">
        <v>59</v>
      </c>
      <c r="E6" s="3"/>
      <c r="G6" s="7"/>
      <c r="H6" s="7"/>
    </row>
    <row r="7" spans="4:8" ht="20.25" customHeight="1" x14ac:dyDescent="0.25">
      <c r="D7" s="1" t="s">
        <v>60</v>
      </c>
      <c r="E7" s="5"/>
      <c r="G7" s="7"/>
      <c r="H7" s="7"/>
    </row>
    <row r="8" spans="4:8" ht="12.75" customHeight="1" x14ac:dyDescent="0.25"/>
    <row r="9" spans="4:8" ht="12.75" customHeight="1" x14ac:dyDescent="0.25"/>
    <row r="10" spans="4:8" ht="12.75" customHeight="1" x14ac:dyDescent="0.25"/>
    <row r="11" spans="4:8" ht="12.75" customHeight="1" x14ac:dyDescent="0.25"/>
    <row r="12" spans="4:8" ht="12.75" customHeight="1" x14ac:dyDescent="0.25"/>
    <row r="13" spans="4:8" ht="12.75" customHeight="1" x14ac:dyDescent="0.25"/>
    <row r="14" spans="4:8" ht="12.75" customHeight="1" x14ac:dyDescent="0.25"/>
    <row r="15" spans="4:8" ht="12.75" customHeight="1" x14ac:dyDescent="0.25"/>
    <row r="16" spans="4:8" ht="12.75" customHeight="1" x14ac:dyDescent="0.25"/>
    <row r="17" s="4" customFormat="1" ht="12.75" customHeight="1" x14ac:dyDescent="0.25"/>
    <row r="18" s="4" customFormat="1" ht="12.75" customHeight="1" x14ac:dyDescent="0.25"/>
    <row r="19" s="4" customFormat="1" ht="12.75" customHeight="1" x14ac:dyDescent="0.25"/>
    <row r="20" s="4" customFormat="1" ht="12.75" customHeight="1" x14ac:dyDescent="0.25"/>
    <row r="21" s="4" customFormat="1" ht="12.75" customHeight="1" x14ac:dyDescent="0.25"/>
    <row r="22" s="4" customFormat="1" ht="12.75" customHeight="1" x14ac:dyDescent="0.25"/>
    <row r="23" s="4" customFormat="1" ht="12.75" customHeight="1" x14ac:dyDescent="0.25"/>
    <row r="24" s="4" customFormat="1" ht="12.75" customHeight="1" x14ac:dyDescent="0.25"/>
    <row r="25" s="4" customFormat="1" ht="12.75" customHeight="1" x14ac:dyDescent="0.25"/>
    <row r="26" s="4" customFormat="1" ht="12.75" customHeight="1" x14ac:dyDescent="0.25"/>
    <row r="27" s="4" customFormat="1" ht="12.75" customHeight="1" x14ac:dyDescent="0.25"/>
    <row r="28" s="4" customFormat="1" ht="12.75" customHeight="1" x14ac:dyDescent="0.25"/>
    <row r="29" s="4" customFormat="1" ht="12.75" customHeight="1" x14ac:dyDescent="0.25"/>
    <row r="30" s="4" customFormat="1" ht="12.75" customHeight="1" x14ac:dyDescent="0.25"/>
    <row r="31" s="4" customFormat="1" ht="12.75" customHeight="1" x14ac:dyDescent="0.25"/>
    <row r="32" s="4" customFormat="1" ht="12.75" customHeight="1" x14ac:dyDescent="0.25"/>
    <row r="33" s="4" customFormat="1" ht="12.75" customHeight="1" x14ac:dyDescent="0.25"/>
    <row r="34" s="4" customFormat="1" ht="12.75" customHeight="1" x14ac:dyDescent="0.25"/>
    <row r="35" s="4" customFormat="1" ht="12.75" customHeight="1" x14ac:dyDescent="0.25"/>
    <row r="36" s="4" customFormat="1" ht="12.75" customHeight="1" x14ac:dyDescent="0.25"/>
    <row r="37" s="4" customFormat="1" ht="12.75" customHeight="1" x14ac:dyDescent="0.25"/>
    <row r="38" s="4" customFormat="1" ht="12.75" customHeight="1" x14ac:dyDescent="0.25"/>
    <row r="39" s="4" customFormat="1" ht="12.75" customHeight="1" x14ac:dyDescent="0.25"/>
    <row r="40" s="4" customFormat="1" ht="12.75" customHeight="1" x14ac:dyDescent="0.25"/>
    <row r="41" s="4" customFormat="1" ht="12.75" customHeight="1" x14ac:dyDescent="0.25"/>
    <row r="42" s="4" customFormat="1" ht="12.75" customHeight="1" x14ac:dyDescent="0.25"/>
    <row r="43" s="4" customFormat="1" ht="12.75" customHeight="1" x14ac:dyDescent="0.25"/>
    <row r="44" s="4" customFormat="1" ht="12.75" customHeight="1" x14ac:dyDescent="0.25"/>
    <row r="45" s="4" customFormat="1" ht="12.75" customHeight="1" x14ac:dyDescent="0.25"/>
    <row r="46" s="4" customFormat="1" ht="12.75" customHeight="1" x14ac:dyDescent="0.25"/>
    <row r="47" s="4" customFormat="1" ht="12.75" customHeight="1" x14ac:dyDescent="0.25"/>
    <row r="48" s="4" customFormat="1" ht="12.75" customHeight="1" x14ac:dyDescent="0.25"/>
    <row r="49" s="4" customFormat="1" ht="12.75" customHeight="1" x14ac:dyDescent="0.25"/>
    <row r="50" s="4" customFormat="1" ht="12.75" customHeight="1" x14ac:dyDescent="0.25"/>
    <row r="51" s="4" customFormat="1" ht="12.75" customHeight="1" x14ac:dyDescent="0.25"/>
    <row r="52" s="4" customFormat="1" ht="12.75" customHeight="1" x14ac:dyDescent="0.25"/>
    <row r="53" s="4" customFormat="1" ht="12.75" customHeight="1" x14ac:dyDescent="0.25"/>
    <row r="54" s="4" customFormat="1" ht="12.75" customHeight="1" x14ac:dyDescent="0.25"/>
    <row r="55" s="4" customFormat="1" ht="12.75" customHeight="1" x14ac:dyDescent="0.25"/>
    <row r="56" s="4" customFormat="1" ht="12.75" customHeight="1" x14ac:dyDescent="0.25"/>
    <row r="57" s="4" customFormat="1" ht="12.75" customHeight="1" x14ac:dyDescent="0.25"/>
    <row r="58" s="4" customFormat="1" ht="12.75" customHeight="1" x14ac:dyDescent="0.25"/>
    <row r="59" s="4" customFormat="1" ht="12.75" customHeight="1" x14ac:dyDescent="0.25"/>
    <row r="60" s="4" customFormat="1" ht="12.75" customHeight="1" x14ac:dyDescent="0.25"/>
    <row r="61" s="4" customFormat="1" ht="12.75" customHeight="1" x14ac:dyDescent="0.25"/>
    <row r="62" s="4" customFormat="1" ht="12.75" customHeight="1" x14ac:dyDescent="0.25"/>
    <row r="63" s="4" customFormat="1" ht="12.75" customHeight="1" x14ac:dyDescent="0.25"/>
    <row r="64" s="4" customFormat="1" ht="12.75" customHeight="1" x14ac:dyDescent="0.25"/>
    <row r="65" s="4" customFormat="1" ht="12.75" customHeight="1" x14ac:dyDescent="0.25"/>
    <row r="66" s="4" customFormat="1" ht="12.75" customHeight="1" x14ac:dyDescent="0.25"/>
    <row r="67" s="4" customFormat="1" ht="12.75" customHeight="1" x14ac:dyDescent="0.25"/>
    <row r="68" s="4" customFormat="1" ht="12.75" customHeight="1" x14ac:dyDescent="0.25"/>
    <row r="69" s="4" customFormat="1" ht="12.75" customHeight="1" x14ac:dyDescent="0.25"/>
    <row r="70" s="4" customFormat="1" ht="12.75" customHeight="1" x14ac:dyDescent="0.25"/>
    <row r="71" s="4" customFormat="1" ht="12.75" customHeight="1" x14ac:dyDescent="0.25"/>
    <row r="72" s="4" customFormat="1" ht="12.75" customHeight="1" x14ac:dyDescent="0.25"/>
    <row r="73" s="4" customFormat="1" ht="12.75" customHeight="1" x14ac:dyDescent="0.25"/>
    <row r="74" s="4" customFormat="1" ht="12.75" customHeight="1" x14ac:dyDescent="0.25"/>
    <row r="75" s="4" customFormat="1" ht="12.75" customHeight="1" x14ac:dyDescent="0.25"/>
    <row r="76" s="4" customFormat="1" ht="12.75" customHeight="1" x14ac:dyDescent="0.25"/>
    <row r="77" s="4" customFormat="1" ht="12.75" customHeight="1" x14ac:dyDescent="0.25"/>
    <row r="78" s="4" customFormat="1" ht="12.75" customHeight="1" x14ac:dyDescent="0.25"/>
    <row r="79" s="4" customFormat="1" ht="12.75" customHeight="1" x14ac:dyDescent="0.25"/>
    <row r="80" s="4" customFormat="1" ht="12.75" customHeight="1" x14ac:dyDescent="0.25"/>
    <row r="81" s="4" customFormat="1" ht="12.75" customHeight="1" x14ac:dyDescent="0.25"/>
    <row r="82" s="4" customFormat="1" ht="12.75" customHeight="1" x14ac:dyDescent="0.25"/>
    <row r="83" s="4" customFormat="1" ht="12.75" customHeight="1" x14ac:dyDescent="0.25"/>
    <row r="84" s="4" customFormat="1" ht="12.75" customHeight="1" x14ac:dyDescent="0.25"/>
    <row r="85" s="4" customFormat="1" ht="12.75" customHeight="1" x14ac:dyDescent="0.25"/>
    <row r="86" s="4" customFormat="1" ht="12.75" customHeight="1" x14ac:dyDescent="0.25"/>
    <row r="87" s="4" customFormat="1" ht="12.75" customHeight="1" x14ac:dyDescent="0.25"/>
    <row r="88" s="4" customFormat="1" ht="12.75" customHeight="1" x14ac:dyDescent="0.25"/>
    <row r="89" s="4" customFormat="1" ht="12.75" customHeight="1" x14ac:dyDescent="0.25"/>
    <row r="90" s="4" customFormat="1" ht="12.75" customHeight="1" x14ac:dyDescent="0.25"/>
    <row r="91" s="4" customFormat="1" ht="12.75" customHeight="1" x14ac:dyDescent="0.25"/>
    <row r="92" s="4" customFormat="1" ht="12.75" customHeight="1" x14ac:dyDescent="0.25"/>
    <row r="93" s="4" customFormat="1" ht="12.75" customHeight="1" x14ac:dyDescent="0.25"/>
    <row r="94" s="4" customFormat="1" ht="12.75" customHeight="1" x14ac:dyDescent="0.25"/>
    <row r="95" s="4" customFormat="1" ht="12.75" customHeight="1" x14ac:dyDescent="0.25"/>
    <row r="96" s="4" customFormat="1" ht="12.75" customHeight="1" x14ac:dyDescent="0.25"/>
    <row r="97" s="4" customFormat="1" ht="12.75" customHeight="1" x14ac:dyDescent="0.25"/>
    <row r="98" s="4" customFormat="1" ht="12.75" customHeight="1" x14ac:dyDescent="0.25"/>
    <row r="99" s="4" customFormat="1" ht="12.75" customHeight="1" x14ac:dyDescent="0.25"/>
    <row r="100" s="4" customFormat="1" ht="12.75" customHeight="1" x14ac:dyDescent="0.25"/>
    <row r="101" s="4" customFormat="1" ht="12.75" customHeight="1" x14ac:dyDescent="0.25"/>
    <row r="102" s="4" customFormat="1" ht="12.75" customHeight="1" x14ac:dyDescent="0.25"/>
    <row r="103" s="4" customFormat="1" ht="12.75" customHeight="1" x14ac:dyDescent="0.25"/>
    <row r="104" s="4" customFormat="1" ht="12.75" customHeight="1" x14ac:dyDescent="0.25"/>
    <row r="105" s="4" customFormat="1" ht="12.75" customHeight="1" x14ac:dyDescent="0.25"/>
    <row r="106" s="4" customFormat="1" ht="12.75" customHeight="1" x14ac:dyDescent="0.25"/>
    <row r="107" s="4" customFormat="1" ht="12.75" customHeight="1" x14ac:dyDescent="0.25"/>
    <row r="108" s="4" customFormat="1" ht="12.75" customHeight="1" x14ac:dyDescent="0.25"/>
    <row r="109" s="4" customFormat="1" ht="12.75" customHeight="1" x14ac:dyDescent="0.25"/>
    <row r="110" s="4" customFormat="1" ht="12.75" customHeight="1" x14ac:dyDescent="0.25"/>
    <row r="111" s="4" customFormat="1" ht="12.75" customHeight="1" x14ac:dyDescent="0.25"/>
    <row r="112" s="4" customFormat="1" ht="12.75" customHeight="1" x14ac:dyDescent="0.25"/>
    <row r="113" s="4" customFormat="1" ht="12.75" customHeight="1" x14ac:dyDescent="0.25"/>
    <row r="114" s="4" customFormat="1" ht="12.75" customHeight="1" x14ac:dyDescent="0.25"/>
    <row r="115" s="4" customFormat="1" ht="12.75" customHeight="1" x14ac:dyDescent="0.25"/>
    <row r="116" s="4" customFormat="1" ht="12.75" customHeight="1" x14ac:dyDescent="0.25"/>
    <row r="117" s="4" customFormat="1" ht="12.75" customHeight="1" x14ac:dyDescent="0.25"/>
    <row r="118" s="4" customFormat="1" ht="12.75" customHeight="1" x14ac:dyDescent="0.25"/>
    <row r="119" s="4" customFormat="1" ht="12.75" customHeight="1" x14ac:dyDescent="0.25"/>
    <row r="120" s="4" customFormat="1" ht="12.75" customHeight="1" x14ac:dyDescent="0.25"/>
    <row r="121" s="4" customFormat="1" ht="12.75" customHeight="1" x14ac:dyDescent="0.25"/>
    <row r="122" s="4" customFormat="1" ht="12.75" customHeight="1" x14ac:dyDescent="0.25"/>
    <row r="123" s="4" customFormat="1" ht="12.75" customHeight="1" x14ac:dyDescent="0.25"/>
    <row r="124" s="4" customFormat="1" ht="12.75" customHeight="1" x14ac:dyDescent="0.25"/>
    <row r="125" s="4" customFormat="1" ht="12.75" customHeight="1" x14ac:dyDescent="0.25"/>
    <row r="126" s="4" customFormat="1" ht="12.75" customHeight="1" x14ac:dyDescent="0.25"/>
    <row r="127" s="4" customFormat="1" ht="12.75" customHeight="1" x14ac:dyDescent="0.25"/>
    <row r="128" s="4" customFormat="1" ht="12.75" customHeight="1" x14ac:dyDescent="0.25"/>
    <row r="129" s="4" customFormat="1" ht="12.75" customHeight="1" x14ac:dyDescent="0.25"/>
    <row r="130" s="4" customFormat="1" ht="12.75" customHeight="1" x14ac:dyDescent="0.25"/>
    <row r="131" s="4" customFormat="1" ht="12.75" customHeight="1" x14ac:dyDescent="0.25"/>
    <row r="132" s="4" customFormat="1" ht="12.75" customHeight="1" x14ac:dyDescent="0.25"/>
    <row r="133" s="4" customFormat="1" ht="12.75" customHeight="1" x14ac:dyDescent="0.25"/>
    <row r="134" s="4" customFormat="1" ht="12.75" customHeight="1" x14ac:dyDescent="0.25"/>
    <row r="135" s="4" customFormat="1" ht="12.75" customHeight="1" x14ac:dyDescent="0.25"/>
    <row r="136" s="4" customFormat="1" ht="12.75" customHeight="1" x14ac:dyDescent="0.25"/>
    <row r="137" s="4" customFormat="1" ht="12.75" customHeight="1" x14ac:dyDescent="0.25"/>
    <row r="138" s="4" customFormat="1" ht="12.75" customHeight="1" x14ac:dyDescent="0.25"/>
    <row r="139" s="4" customFormat="1" ht="12.75" customHeight="1" x14ac:dyDescent="0.25"/>
    <row r="140" s="4" customFormat="1" ht="12.75" customHeight="1" x14ac:dyDescent="0.25"/>
    <row r="141" s="4" customFormat="1" ht="12.75" customHeight="1" x14ac:dyDescent="0.25"/>
    <row r="142" s="4" customFormat="1" ht="12.75" customHeight="1" x14ac:dyDescent="0.25"/>
    <row r="143" s="4" customFormat="1" ht="12.75" customHeight="1" x14ac:dyDescent="0.25"/>
    <row r="144" s="4" customFormat="1" ht="12.75" customHeight="1" x14ac:dyDescent="0.25"/>
    <row r="145" s="4" customFormat="1" ht="12.75" customHeight="1" x14ac:dyDescent="0.25"/>
    <row r="146" s="4" customFormat="1" ht="12.75" customHeight="1" x14ac:dyDescent="0.25"/>
    <row r="147" s="4" customFormat="1" ht="12.75" customHeight="1" x14ac:dyDescent="0.25"/>
    <row r="148" s="4" customFormat="1" ht="12.75" customHeight="1" x14ac:dyDescent="0.25"/>
    <row r="149" s="4" customFormat="1" ht="12.75" customHeight="1" x14ac:dyDescent="0.25"/>
    <row r="150" s="4" customFormat="1" ht="12.75" customHeight="1" x14ac:dyDescent="0.25"/>
    <row r="151" s="4" customFormat="1" ht="12.75" customHeight="1" x14ac:dyDescent="0.25"/>
    <row r="152" s="4" customFormat="1" ht="12.75" customHeight="1" x14ac:dyDescent="0.25"/>
    <row r="153" s="4" customFormat="1" ht="12.75" customHeight="1" x14ac:dyDescent="0.25"/>
    <row r="154" s="4" customFormat="1" ht="12.75" customHeight="1" x14ac:dyDescent="0.25"/>
    <row r="155" s="4" customFormat="1" ht="12.75" customHeight="1" x14ac:dyDescent="0.25"/>
    <row r="156" s="4" customFormat="1" ht="12.75" customHeight="1" x14ac:dyDescent="0.25"/>
    <row r="157" s="4" customFormat="1" ht="12.75" customHeight="1" x14ac:dyDescent="0.25"/>
    <row r="158" s="4" customFormat="1" ht="12.75" customHeight="1" x14ac:dyDescent="0.25"/>
    <row r="159" s="4" customFormat="1" ht="12.75" customHeight="1" x14ac:dyDescent="0.25"/>
    <row r="160" s="4" customFormat="1" ht="12.75" customHeight="1" x14ac:dyDescent="0.25"/>
    <row r="161" s="4" customFormat="1" ht="12.75" customHeight="1" x14ac:dyDescent="0.25"/>
    <row r="162" s="4" customFormat="1" ht="12.75" customHeight="1" x14ac:dyDescent="0.25"/>
    <row r="163" s="4" customFormat="1" ht="12.75" customHeight="1" x14ac:dyDescent="0.25"/>
    <row r="164" s="4" customFormat="1" ht="12.75" customHeight="1" x14ac:dyDescent="0.25"/>
    <row r="165" s="4" customFormat="1" ht="12.75" customHeight="1" x14ac:dyDescent="0.25"/>
    <row r="166" s="4" customFormat="1" ht="12.75" customHeight="1" x14ac:dyDescent="0.25"/>
    <row r="167" s="4" customFormat="1" ht="12.75" customHeight="1" x14ac:dyDescent="0.25"/>
    <row r="168" s="4" customFormat="1" ht="12.75" customHeight="1" x14ac:dyDescent="0.25"/>
    <row r="169" s="4" customFormat="1" ht="12.75" customHeight="1" x14ac:dyDescent="0.25"/>
    <row r="170" s="4" customFormat="1" ht="12.75" customHeight="1" x14ac:dyDescent="0.25"/>
    <row r="171" s="4" customFormat="1" ht="12.75" customHeight="1" x14ac:dyDescent="0.25"/>
    <row r="172" s="4" customFormat="1" ht="12.75" customHeight="1" x14ac:dyDescent="0.25"/>
    <row r="173" s="4" customFormat="1" ht="12.75" customHeight="1" x14ac:dyDescent="0.25"/>
    <row r="174" s="4" customFormat="1" ht="12.75" customHeight="1" x14ac:dyDescent="0.25"/>
    <row r="175" s="4" customFormat="1" ht="12.75" customHeight="1" x14ac:dyDescent="0.25"/>
    <row r="176" s="4" customFormat="1" ht="12.75" customHeight="1" x14ac:dyDescent="0.25"/>
    <row r="177" s="4" customFormat="1" ht="12.75" customHeight="1" x14ac:dyDescent="0.25"/>
    <row r="178" s="4" customFormat="1" ht="12.75" customHeight="1" x14ac:dyDescent="0.25"/>
    <row r="179" s="4" customFormat="1" ht="12.75" customHeight="1" x14ac:dyDescent="0.25"/>
    <row r="180" s="4" customFormat="1" ht="12.75" customHeight="1" x14ac:dyDescent="0.25"/>
    <row r="181" s="4" customFormat="1" ht="12.75" customHeight="1" x14ac:dyDescent="0.25"/>
    <row r="182" s="4" customFormat="1" ht="12.75" customHeight="1" x14ac:dyDescent="0.25"/>
    <row r="183" s="4" customFormat="1" ht="12.75" customHeight="1" x14ac:dyDescent="0.25"/>
    <row r="184" s="4" customFormat="1" ht="12.75" customHeight="1" x14ac:dyDescent="0.25"/>
    <row r="185" s="4" customFormat="1" ht="12.75" customHeight="1" x14ac:dyDescent="0.25"/>
    <row r="186" s="4" customFormat="1" ht="12.75" customHeight="1" x14ac:dyDescent="0.25"/>
    <row r="187" s="4" customFormat="1" ht="12.75" customHeight="1" x14ac:dyDescent="0.25"/>
    <row r="188" s="4" customFormat="1" ht="12.75" customHeight="1" x14ac:dyDescent="0.25"/>
    <row r="189" s="4" customFormat="1" ht="12.75" customHeight="1" x14ac:dyDescent="0.25"/>
    <row r="190" s="4" customFormat="1" ht="12.75" customHeight="1" x14ac:dyDescent="0.25"/>
    <row r="191" s="4" customFormat="1" ht="12.75" customHeight="1" x14ac:dyDescent="0.25"/>
    <row r="192" s="4" customFormat="1" ht="12.75" customHeight="1" x14ac:dyDescent="0.25"/>
    <row r="193" s="4" customFormat="1" ht="12.75" customHeight="1" x14ac:dyDescent="0.25"/>
    <row r="194" s="4" customFormat="1" ht="12.75" customHeight="1" x14ac:dyDescent="0.25"/>
    <row r="195" s="4" customFormat="1" ht="12.75" customHeight="1" x14ac:dyDescent="0.25"/>
    <row r="196" s="4" customFormat="1" ht="12.75" customHeight="1" x14ac:dyDescent="0.25"/>
    <row r="197" s="4" customFormat="1" ht="12.75" customHeight="1" x14ac:dyDescent="0.25"/>
    <row r="198" s="4" customFormat="1" ht="12.75" customHeight="1" x14ac:dyDescent="0.25"/>
    <row r="199" s="4" customFormat="1" ht="12.75" customHeight="1" x14ac:dyDescent="0.25"/>
    <row r="200" s="4" customFormat="1" ht="12.75" customHeight="1" x14ac:dyDescent="0.25"/>
    <row r="201" s="4" customFormat="1" ht="12.75" customHeight="1" x14ac:dyDescent="0.25"/>
    <row r="202" s="4" customFormat="1" ht="12.75" customHeight="1" x14ac:dyDescent="0.25"/>
    <row r="203" s="4" customFormat="1" ht="12.75" customHeight="1" x14ac:dyDescent="0.25"/>
    <row r="204" s="4" customFormat="1" ht="12.75" customHeight="1" x14ac:dyDescent="0.25"/>
    <row r="205" s="4" customFormat="1" ht="12.75" customHeight="1" x14ac:dyDescent="0.25"/>
    <row r="206" s="4" customFormat="1" ht="12.75" customHeight="1" x14ac:dyDescent="0.25"/>
    <row r="207" s="4" customFormat="1" ht="12.75" customHeight="1" x14ac:dyDescent="0.25"/>
    <row r="208" s="4" customFormat="1" ht="12.75" customHeight="1" x14ac:dyDescent="0.25"/>
    <row r="209" s="4" customFormat="1" ht="12.75" customHeight="1" x14ac:dyDescent="0.25"/>
    <row r="210" s="4" customFormat="1" ht="12.75" customHeight="1" x14ac:dyDescent="0.25"/>
    <row r="211" s="4" customFormat="1" ht="12.75" customHeight="1" x14ac:dyDescent="0.25"/>
    <row r="212" s="4" customFormat="1" ht="12.75" customHeight="1" x14ac:dyDescent="0.25"/>
    <row r="213" s="4" customFormat="1" ht="12.75" customHeight="1" x14ac:dyDescent="0.25"/>
    <row r="214" s="4" customFormat="1" ht="12.75" customHeight="1" x14ac:dyDescent="0.25"/>
    <row r="215" s="4" customFormat="1" ht="12.75" customHeight="1" x14ac:dyDescent="0.25"/>
    <row r="216" s="4" customFormat="1" ht="12.75" customHeight="1" x14ac:dyDescent="0.25"/>
    <row r="217" s="4" customFormat="1" ht="12.75" customHeight="1" x14ac:dyDescent="0.25"/>
    <row r="218" s="4" customFormat="1" ht="12.75" customHeight="1" x14ac:dyDescent="0.25"/>
    <row r="219" s="4" customFormat="1" ht="12.75" customHeight="1" x14ac:dyDescent="0.25"/>
    <row r="220" s="4" customFormat="1" ht="12.75" customHeight="1" x14ac:dyDescent="0.25"/>
    <row r="221" s="4" customFormat="1" ht="12.75" customHeight="1" x14ac:dyDescent="0.25"/>
    <row r="222" s="4" customFormat="1" ht="12.75" customHeight="1" x14ac:dyDescent="0.25"/>
    <row r="223" s="4" customFormat="1" ht="12.75" customHeight="1" x14ac:dyDescent="0.25"/>
    <row r="224" s="4" customFormat="1" ht="12.75" customHeight="1" x14ac:dyDescent="0.25"/>
    <row r="225" s="4" customFormat="1" ht="12.75" customHeight="1" x14ac:dyDescent="0.25"/>
    <row r="226" s="4" customFormat="1" ht="12.75" customHeight="1" x14ac:dyDescent="0.25"/>
    <row r="227" s="4" customFormat="1" ht="12.75" customHeight="1" x14ac:dyDescent="0.25"/>
    <row r="228" s="4" customFormat="1" ht="12.75" customHeight="1" x14ac:dyDescent="0.25"/>
    <row r="229" s="4" customFormat="1" ht="12.75" customHeight="1" x14ac:dyDescent="0.25"/>
    <row r="230" s="4" customFormat="1" ht="12.75" customHeight="1" x14ac:dyDescent="0.25"/>
    <row r="231" s="4" customFormat="1" ht="12.75" customHeight="1" x14ac:dyDescent="0.25"/>
    <row r="232" s="4" customFormat="1" ht="12.75" customHeight="1" x14ac:dyDescent="0.25"/>
    <row r="233" s="4" customFormat="1" ht="12.75" customHeight="1" x14ac:dyDescent="0.25"/>
    <row r="234" s="4" customFormat="1" ht="12.75" customHeight="1" x14ac:dyDescent="0.25"/>
    <row r="235" s="4" customFormat="1" ht="12.75" customHeight="1" x14ac:dyDescent="0.25"/>
    <row r="236" s="4" customFormat="1" ht="12.75" customHeight="1" x14ac:dyDescent="0.25"/>
    <row r="237" s="4" customFormat="1" ht="12.75" customHeight="1" x14ac:dyDescent="0.25"/>
    <row r="238" s="4" customFormat="1" ht="12.75" customHeight="1" x14ac:dyDescent="0.25"/>
    <row r="239" s="4" customFormat="1" ht="12.75" customHeight="1" x14ac:dyDescent="0.25"/>
    <row r="240" s="4" customFormat="1" ht="12.75" customHeight="1" x14ac:dyDescent="0.25"/>
    <row r="241" s="4" customFormat="1" ht="12.75" customHeight="1" x14ac:dyDescent="0.25"/>
    <row r="242" s="4" customFormat="1" ht="12.75" customHeight="1" x14ac:dyDescent="0.25"/>
    <row r="243" s="4" customFormat="1" ht="12.75" customHeight="1" x14ac:dyDescent="0.25"/>
    <row r="244" s="4" customFormat="1" ht="12.75" customHeight="1" x14ac:dyDescent="0.25"/>
    <row r="245" s="4" customFormat="1" ht="12.75" customHeight="1" x14ac:dyDescent="0.25"/>
    <row r="246" s="4" customFormat="1" ht="12.75" customHeight="1" x14ac:dyDescent="0.25"/>
    <row r="247" s="4" customFormat="1" ht="12.75" customHeight="1" x14ac:dyDescent="0.25"/>
    <row r="248" s="4" customFormat="1" ht="12.75" customHeight="1" x14ac:dyDescent="0.25"/>
    <row r="249" s="4" customFormat="1" ht="12.75" customHeight="1" x14ac:dyDescent="0.25"/>
    <row r="250" s="4" customFormat="1" ht="12.75" customHeight="1" x14ac:dyDescent="0.25"/>
    <row r="251" s="4" customFormat="1" ht="12.75" customHeight="1" x14ac:dyDescent="0.25"/>
    <row r="252" s="4" customFormat="1" ht="12.75" customHeight="1" x14ac:dyDescent="0.25"/>
    <row r="253" s="4" customFormat="1" ht="12.75" customHeight="1" x14ac:dyDescent="0.25"/>
    <row r="254" s="4" customFormat="1" ht="12.75" customHeight="1" x14ac:dyDescent="0.25"/>
    <row r="255" s="4" customFormat="1" ht="12.75" customHeight="1" x14ac:dyDescent="0.25"/>
    <row r="256" s="4" customFormat="1" ht="12.75" customHeight="1" x14ac:dyDescent="0.25"/>
    <row r="257" s="4" customFormat="1" ht="12.75" customHeight="1" x14ac:dyDescent="0.25"/>
    <row r="258" s="4" customFormat="1" ht="12.75" customHeight="1" x14ac:dyDescent="0.25"/>
    <row r="259" s="4" customFormat="1" ht="12.75" customHeight="1" x14ac:dyDescent="0.25"/>
    <row r="260" s="4" customFormat="1" ht="12.75" customHeight="1" x14ac:dyDescent="0.25"/>
    <row r="261" s="4" customFormat="1" ht="12.75" customHeight="1" x14ac:dyDescent="0.25"/>
    <row r="262" s="4" customFormat="1" ht="12.75" customHeight="1" x14ac:dyDescent="0.25"/>
    <row r="263" s="4" customFormat="1" ht="12.75" customHeight="1" x14ac:dyDescent="0.25"/>
    <row r="264" s="4" customFormat="1" ht="12.75" customHeight="1" x14ac:dyDescent="0.25"/>
    <row r="265" s="4" customFormat="1" ht="12.75" customHeight="1" x14ac:dyDescent="0.25"/>
    <row r="266" s="4" customFormat="1" ht="12.75" customHeight="1" x14ac:dyDescent="0.25"/>
    <row r="267" s="4" customFormat="1" ht="12.75" customHeight="1" x14ac:dyDescent="0.25"/>
    <row r="268" s="4" customFormat="1" ht="12.75" customHeight="1" x14ac:dyDescent="0.25"/>
    <row r="269" s="4" customFormat="1" ht="12.75" customHeight="1" x14ac:dyDescent="0.25"/>
    <row r="270" s="4" customFormat="1" ht="12.75" customHeight="1" x14ac:dyDescent="0.25"/>
    <row r="271" s="4" customFormat="1" ht="12.75" customHeight="1" x14ac:dyDescent="0.25"/>
    <row r="272" s="4" customFormat="1" ht="12.75" customHeight="1" x14ac:dyDescent="0.25"/>
    <row r="273" s="4" customFormat="1" ht="12.75" customHeight="1" x14ac:dyDescent="0.25"/>
    <row r="274" s="4" customFormat="1" ht="12.75" customHeight="1" x14ac:dyDescent="0.25"/>
    <row r="275" s="4" customFormat="1" ht="12.75" customHeight="1" x14ac:dyDescent="0.25"/>
    <row r="276" s="4" customFormat="1" ht="12.75" customHeight="1" x14ac:dyDescent="0.25"/>
    <row r="277" s="4" customFormat="1" ht="12.75" customHeight="1" x14ac:dyDescent="0.25"/>
    <row r="278" s="4" customFormat="1" ht="12.75" customHeight="1" x14ac:dyDescent="0.25"/>
    <row r="279" s="4" customFormat="1" ht="12.75" customHeight="1" x14ac:dyDescent="0.25"/>
    <row r="280" s="4" customFormat="1" ht="12.75" customHeight="1" x14ac:dyDescent="0.25"/>
    <row r="281" s="4" customFormat="1" ht="12.75" customHeight="1" x14ac:dyDescent="0.25"/>
    <row r="282" s="4" customFormat="1" ht="12.75" customHeight="1" x14ac:dyDescent="0.25"/>
    <row r="283" s="4" customFormat="1" ht="12.75" customHeight="1" x14ac:dyDescent="0.25"/>
    <row r="284" s="4" customFormat="1" ht="12.75" customHeight="1" x14ac:dyDescent="0.25"/>
    <row r="285" s="4" customFormat="1" ht="12.75" customHeight="1" x14ac:dyDescent="0.25"/>
    <row r="286" s="4" customFormat="1" ht="12.75" customHeight="1" x14ac:dyDescent="0.25"/>
    <row r="287" s="4" customFormat="1" ht="12.75" customHeight="1" x14ac:dyDescent="0.25"/>
    <row r="288" s="4" customFormat="1" ht="12.75" customHeight="1" x14ac:dyDescent="0.25"/>
    <row r="289" s="4" customFormat="1" ht="12.75" customHeight="1" x14ac:dyDescent="0.25"/>
    <row r="290" s="4" customFormat="1" ht="12.75" customHeight="1" x14ac:dyDescent="0.25"/>
    <row r="291" s="4" customFormat="1" ht="12.75" customHeight="1" x14ac:dyDescent="0.25"/>
    <row r="292" s="4" customFormat="1" ht="12.75" customHeight="1" x14ac:dyDescent="0.25"/>
    <row r="293" s="4" customFormat="1" ht="12.75" customHeight="1" x14ac:dyDescent="0.25"/>
    <row r="294" s="4" customFormat="1" ht="12.75" customHeight="1" x14ac:dyDescent="0.25"/>
    <row r="295" s="4" customFormat="1" ht="12.75" customHeight="1" x14ac:dyDescent="0.25"/>
    <row r="296" s="4" customFormat="1" ht="12.75" customHeight="1" x14ac:dyDescent="0.25"/>
    <row r="297" s="4" customFormat="1" ht="12.75" customHeight="1" x14ac:dyDescent="0.25"/>
    <row r="298" s="4" customFormat="1" ht="12.75" customHeight="1" x14ac:dyDescent="0.25"/>
    <row r="299" s="4" customFormat="1" ht="12.75" customHeight="1" x14ac:dyDescent="0.25"/>
    <row r="300" s="4" customFormat="1" ht="12.75" customHeight="1" x14ac:dyDescent="0.25"/>
    <row r="301" s="4" customFormat="1" ht="12.75" customHeight="1" x14ac:dyDescent="0.25"/>
    <row r="302" s="4" customFormat="1" ht="12.75" customHeight="1" x14ac:dyDescent="0.25"/>
    <row r="303" s="4" customFormat="1" ht="12.75" customHeight="1" x14ac:dyDescent="0.25"/>
    <row r="304" s="4" customFormat="1" ht="12.75" customHeight="1" x14ac:dyDescent="0.25"/>
    <row r="305" s="4" customFormat="1" ht="12.75" customHeight="1" x14ac:dyDescent="0.25"/>
    <row r="306" s="4" customFormat="1" ht="12.75" customHeight="1" x14ac:dyDescent="0.25"/>
    <row r="307" s="4" customFormat="1" ht="12.75" customHeight="1" x14ac:dyDescent="0.25"/>
    <row r="308" s="4" customFormat="1" ht="12.75" customHeight="1" x14ac:dyDescent="0.25"/>
    <row r="309" s="4" customFormat="1" ht="12.75" customHeight="1" x14ac:dyDescent="0.25"/>
    <row r="310" s="4" customFormat="1" ht="12.75" customHeight="1" x14ac:dyDescent="0.25"/>
    <row r="311" s="4" customFormat="1" ht="12.75" customHeight="1" x14ac:dyDescent="0.25"/>
    <row r="312" s="4" customFormat="1" ht="12.75" customHeight="1" x14ac:dyDescent="0.25"/>
    <row r="313" s="4" customFormat="1" ht="12.75" customHeight="1" x14ac:dyDescent="0.25"/>
    <row r="314" s="4" customFormat="1" ht="12.75" customHeight="1" x14ac:dyDescent="0.25"/>
    <row r="315" s="4" customFormat="1" ht="12.75" customHeight="1" x14ac:dyDescent="0.25"/>
    <row r="316" s="4" customFormat="1" ht="12.75" customHeight="1" x14ac:dyDescent="0.25"/>
    <row r="317" s="4" customFormat="1" ht="12.75" customHeight="1" x14ac:dyDescent="0.25"/>
    <row r="318" s="4" customFormat="1" ht="12.75" customHeight="1" x14ac:dyDescent="0.25"/>
    <row r="319" s="4" customFormat="1" ht="12.75" customHeight="1" x14ac:dyDescent="0.25"/>
    <row r="320" s="4" customFormat="1" ht="12.75" customHeight="1" x14ac:dyDescent="0.25"/>
    <row r="321" s="4" customFormat="1" ht="12.75" customHeight="1" x14ac:dyDescent="0.25"/>
    <row r="322" s="4" customFormat="1" ht="12.75" customHeight="1" x14ac:dyDescent="0.25"/>
    <row r="323" s="4" customFormat="1" ht="12.75" customHeight="1" x14ac:dyDescent="0.25"/>
    <row r="324" s="4" customFormat="1" ht="12.75" customHeight="1" x14ac:dyDescent="0.25"/>
    <row r="325" s="4" customFormat="1" ht="12.75" customHeight="1" x14ac:dyDescent="0.25"/>
    <row r="326" s="4" customFormat="1" ht="12.75" customHeight="1" x14ac:dyDescent="0.25"/>
    <row r="327" s="4" customFormat="1" ht="12.75" customHeight="1" x14ac:dyDescent="0.25"/>
    <row r="328" s="4" customFormat="1" ht="12.75" customHeight="1" x14ac:dyDescent="0.25"/>
    <row r="329" s="4" customFormat="1" ht="12.75" customHeight="1" x14ac:dyDescent="0.25"/>
    <row r="330" s="4" customFormat="1" ht="12.75" customHeight="1" x14ac:dyDescent="0.25"/>
    <row r="331" s="4" customFormat="1" ht="12.75" customHeight="1" x14ac:dyDescent="0.25"/>
    <row r="332" s="4" customFormat="1" ht="12.75" customHeight="1" x14ac:dyDescent="0.25"/>
    <row r="333" s="4" customFormat="1" ht="12.75" customHeight="1" x14ac:dyDescent="0.25"/>
    <row r="334" s="4" customFormat="1" ht="12.75" customHeight="1" x14ac:dyDescent="0.25"/>
    <row r="335" s="4" customFormat="1" ht="12.75" customHeight="1" x14ac:dyDescent="0.25"/>
    <row r="336" s="4" customFormat="1" ht="12.75" customHeight="1" x14ac:dyDescent="0.25"/>
    <row r="337" s="4" customFormat="1" ht="12.75" customHeight="1" x14ac:dyDescent="0.25"/>
    <row r="338" s="4" customFormat="1" ht="12.75" customHeight="1" x14ac:dyDescent="0.25"/>
    <row r="339" s="4" customFormat="1" ht="12.75" customHeight="1" x14ac:dyDescent="0.25"/>
    <row r="340" s="4" customFormat="1" ht="12.75" customHeight="1" x14ac:dyDescent="0.25"/>
    <row r="341" s="4" customFormat="1" ht="12.75" customHeight="1" x14ac:dyDescent="0.25"/>
    <row r="342" s="4" customFormat="1" ht="12.75" customHeight="1" x14ac:dyDescent="0.25"/>
    <row r="343" s="4" customFormat="1" ht="12.75" customHeight="1" x14ac:dyDescent="0.25"/>
    <row r="344" s="4" customFormat="1" ht="12.75" customHeight="1" x14ac:dyDescent="0.25"/>
    <row r="345" s="4" customFormat="1" ht="12.75" customHeight="1" x14ac:dyDescent="0.25"/>
    <row r="346" s="4" customFormat="1" ht="12.75" customHeight="1" x14ac:dyDescent="0.25"/>
    <row r="347" s="4" customFormat="1" ht="12.75" customHeight="1" x14ac:dyDescent="0.25"/>
    <row r="348" s="4" customFormat="1" ht="12.75" customHeight="1" x14ac:dyDescent="0.25"/>
    <row r="349" s="4" customFormat="1" ht="12.75" customHeight="1" x14ac:dyDescent="0.25"/>
    <row r="350" s="4" customFormat="1" ht="12.75" customHeight="1" x14ac:dyDescent="0.25"/>
    <row r="351" s="4" customFormat="1" ht="12.75" customHeight="1" x14ac:dyDescent="0.25"/>
    <row r="352" s="4" customFormat="1" ht="12.75" customHeight="1" x14ac:dyDescent="0.25"/>
    <row r="353" s="4" customFormat="1" ht="12.75" customHeight="1" x14ac:dyDescent="0.25"/>
    <row r="354" s="4" customFormat="1" ht="12.75" customHeight="1" x14ac:dyDescent="0.25"/>
    <row r="355" s="4" customFormat="1" ht="12.75" customHeight="1" x14ac:dyDescent="0.25"/>
    <row r="356" s="4" customFormat="1" ht="12.75" customHeight="1" x14ac:dyDescent="0.25"/>
    <row r="357" s="4" customFormat="1" ht="12.75" customHeight="1" x14ac:dyDescent="0.25"/>
    <row r="358" s="4" customFormat="1" ht="12.75" customHeight="1" x14ac:dyDescent="0.25"/>
    <row r="359" s="4" customFormat="1" ht="12.75" customHeight="1" x14ac:dyDescent="0.25"/>
    <row r="360" s="4" customFormat="1" ht="12.75" customHeight="1" x14ac:dyDescent="0.25"/>
    <row r="361" s="4" customFormat="1" ht="12.75" customHeight="1" x14ac:dyDescent="0.25"/>
    <row r="362" s="4" customFormat="1" ht="12.75" customHeight="1" x14ac:dyDescent="0.25"/>
    <row r="363" s="4" customFormat="1" ht="12.75" customHeight="1" x14ac:dyDescent="0.25"/>
    <row r="364" s="4" customFormat="1" ht="12.75" customHeight="1" x14ac:dyDescent="0.25"/>
    <row r="365" s="4" customFormat="1" ht="12.75" customHeight="1" x14ac:dyDescent="0.25"/>
    <row r="366" s="4" customFormat="1" ht="12.75" customHeight="1" x14ac:dyDescent="0.25"/>
    <row r="367" s="4" customFormat="1" ht="12.75" customHeight="1" x14ac:dyDescent="0.25"/>
    <row r="368" s="4" customFormat="1" ht="12.75" customHeight="1" x14ac:dyDescent="0.25"/>
    <row r="369" s="4" customFormat="1" ht="12.75" customHeight="1" x14ac:dyDescent="0.25"/>
    <row r="370" s="4" customFormat="1" ht="12.75" customHeight="1" x14ac:dyDescent="0.25"/>
    <row r="371" s="4" customFormat="1" ht="12.75" customHeight="1" x14ac:dyDescent="0.25"/>
    <row r="372" s="4" customFormat="1" ht="12.75" customHeight="1" x14ac:dyDescent="0.25"/>
    <row r="373" s="4" customFormat="1" ht="12.75" customHeight="1" x14ac:dyDescent="0.25"/>
    <row r="374" s="4" customFormat="1" ht="12.75" customHeight="1" x14ac:dyDescent="0.25"/>
    <row r="375" s="4" customFormat="1" ht="12.75" customHeight="1" x14ac:dyDescent="0.25"/>
    <row r="376" s="4" customFormat="1" ht="12.75" customHeight="1" x14ac:dyDescent="0.25"/>
    <row r="377" s="4" customFormat="1" ht="12.75" customHeight="1" x14ac:dyDescent="0.25"/>
    <row r="378" s="4" customFormat="1" ht="12.75" customHeight="1" x14ac:dyDescent="0.25"/>
    <row r="379" s="4" customFormat="1" ht="12.75" customHeight="1" x14ac:dyDescent="0.25"/>
    <row r="380" s="4" customFormat="1" ht="12.75" customHeight="1" x14ac:dyDescent="0.25"/>
    <row r="381" s="4" customFormat="1" ht="12.75" customHeight="1" x14ac:dyDescent="0.25"/>
    <row r="382" s="4" customFormat="1" ht="12.75" customHeight="1" x14ac:dyDescent="0.25"/>
    <row r="383" s="4" customFormat="1" ht="12.75" customHeight="1" x14ac:dyDescent="0.25"/>
    <row r="384" s="4" customFormat="1" ht="12.75" customHeight="1" x14ac:dyDescent="0.25"/>
    <row r="385" s="4" customFormat="1" ht="12.75" customHeight="1" x14ac:dyDescent="0.25"/>
    <row r="386" s="4" customFormat="1" ht="12.75" customHeight="1" x14ac:dyDescent="0.25"/>
    <row r="387" s="4" customFormat="1" ht="12.75" customHeight="1" x14ac:dyDescent="0.25"/>
    <row r="388" s="4" customFormat="1" ht="12.75" customHeight="1" x14ac:dyDescent="0.25"/>
    <row r="389" s="4" customFormat="1" ht="12.75" customHeight="1" x14ac:dyDescent="0.25"/>
    <row r="390" s="4" customFormat="1" ht="12.75" customHeight="1" x14ac:dyDescent="0.25"/>
    <row r="391" s="4" customFormat="1" ht="12.75" customHeight="1" x14ac:dyDescent="0.25"/>
    <row r="392" s="4" customFormat="1" ht="12.75" customHeight="1" x14ac:dyDescent="0.25"/>
    <row r="393" s="4" customFormat="1" ht="12.75" customHeight="1" x14ac:dyDescent="0.25"/>
    <row r="394" s="4" customFormat="1" ht="12.75" customHeight="1" x14ac:dyDescent="0.25"/>
    <row r="395" s="4" customFormat="1" ht="12.75" customHeight="1" x14ac:dyDescent="0.25"/>
    <row r="396" s="4" customFormat="1" ht="12.75" customHeight="1" x14ac:dyDescent="0.25"/>
    <row r="397" s="4" customFormat="1" ht="12.75" customHeight="1" x14ac:dyDescent="0.25"/>
    <row r="398" s="4" customFormat="1" ht="12.75" customHeight="1" x14ac:dyDescent="0.25"/>
    <row r="399" s="4" customFormat="1" ht="12.75" customHeight="1" x14ac:dyDescent="0.25"/>
    <row r="400" s="4" customFormat="1" ht="12.75" customHeight="1" x14ac:dyDescent="0.25"/>
    <row r="401" s="4" customFormat="1" ht="12.75" customHeight="1" x14ac:dyDescent="0.25"/>
    <row r="402" s="4" customFormat="1" ht="12.75" customHeight="1" x14ac:dyDescent="0.25"/>
    <row r="403" s="4" customFormat="1" ht="12.75" customHeight="1" x14ac:dyDescent="0.25"/>
    <row r="404" s="4" customFormat="1" ht="12.75" customHeight="1" x14ac:dyDescent="0.25"/>
    <row r="405" s="4" customFormat="1" ht="12.75" customHeight="1" x14ac:dyDescent="0.25"/>
    <row r="406" s="4" customFormat="1" ht="12.75" customHeight="1" x14ac:dyDescent="0.25"/>
    <row r="407" s="4" customFormat="1" ht="12.75" customHeight="1" x14ac:dyDescent="0.25"/>
    <row r="408" s="4" customFormat="1" ht="12.75" customHeight="1" x14ac:dyDescent="0.25"/>
    <row r="409" s="4" customFormat="1" ht="12.75" customHeight="1" x14ac:dyDescent="0.25"/>
    <row r="410" s="4" customFormat="1" ht="12.75" customHeight="1" x14ac:dyDescent="0.25"/>
    <row r="411" s="4" customFormat="1" ht="12.75" customHeight="1" x14ac:dyDescent="0.25"/>
    <row r="412" s="4" customFormat="1" ht="12.75" customHeight="1" x14ac:dyDescent="0.25"/>
    <row r="413" s="4" customFormat="1" ht="12.75" customHeight="1" x14ac:dyDescent="0.25"/>
    <row r="414" s="4" customFormat="1" ht="12.75" customHeight="1" x14ac:dyDescent="0.25"/>
    <row r="415" s="4" customFormat="1" ht="12.75" customHeight="1" x14ac:dyDescent="0.25"/>
    <row r="416" s="4" customFormat="1" ht="12.75" customHeight="1" x14ac:dyDescent="0.25"/>
    <row r="417" s="4" customFormat="1" ht="12.75" customHeight="1" x14ac:dyDescent="0.25"/>
    <row r="418" s="4" customFormat="1" ht="12.75" customHeight="1" x14ac:dyDescent="0.25"/>
    <row r="419" s="4" customFormat="1" ht="12.75" customHeight="1" x14ac:dyDescent="0.25"/>
    <row r="420" s="4" customFormat="1" ht="12.75" customHeight="1" x14ac:dyDescent="0.25"/>
    <row r="421" s="4" customFormat="1" ht="12.75" customHeight="1" x14ac:dyDescent="0.25"/>
    <row r="422" s="4" customFormat="1" ht="12.75" customHeight="1" x14ac:dyDescent="0.25"/>
    <row r="423" s="4" customFormat="1" ht="12.75" customHeight="1" x14ac:dyDescent="0.25"/>
    <row r="424" s="4" customFormat="1" ht="12.75" customHeight="1" x14ac:dyDescent="0.25"/>
    <row r="425" s="4" customFormat="1" ht="12.75" customHeight="1" x14ac:dyDescent="0.25"/>
    <row r="426" s="4" customFormat="1" ht="12.75" customHeight="1" x14ac:dyDescent="0.25"/>
    <row r="427" s="4" customFormat="1" ht="12.75" customHeight="1" x14ac:dyDescent="0.25"/>
    <row r="428" s="4" customFormat="1" ht="12.75" customHeight="1" x14ac:dyDescent="0.25"/>
    <row r="429" s="4" customFormat="1" ht="12.75" customHeight="1" x14ac:dyDescent="0.25"/>
    <row r="430" s="4" customFormat="1" ht="12.75" customHeight="1" x14ac:dyDescent="0.25"/>
    <row r="431" s="4" customFormat="1" ht="12.75" customHeight="1" x14ac:dyDescent="0.25"/>
    <row r="432" s="4" customFormat="1" ht="12.75" customHeight="1" x14ac:dyDescent="0.25"/>
    <row r="433" s="4" customFormat="1" ht="12.75" customHeight="1" x14ac:dyDescent="0.25"/>
    <row r="434" s="4" customFormat="1" ht="12.75" customHeight="1" x14ac:dyDescent="0.25"/>
    <row r="435" s="4" customFormat="1" ht="12.75" customHeight="1" x14ac:dyDescent="0.25"/>
    <row r="436" s="4" customFormat="1" ht="12.75" customHeight="1" x14ac:dyDescent="0.25"/>
    <row r="437" s="4" customFormat="1" ht="12.75" customHeight="1" x14ac:dyDescent="0.25"/>
    <row r="438" s="4" customFormat="1" ht="12.75" customHeight="1" x14ac:dyDescent="0.25"/>
    <row r="439" s="4" customFormat="1" ht="12.75" customHeight="1" x14ac:dyDescent="0.25"/>
    <row r="440" s="4" customFormat="1" ht="12.75" customHeight="1" x14ac:dyDescent="0.25"/>
    <row r="441" s="4" customFormat="1" ht="12.75" customHeight="1" x14ac:dyDescent="0.25"/>
    <row r="442" s="4" customFormat="1" ht="12.75" customHeight="1" x14ac:dyDescent="0.25"/>
    <row r="443" s="4" customFormat="1" ht="12.75" customHeight="1" x14ac:dyDescent="0.25"/>
    <row r="444" s="4" customFormat="1" ht="12.75" customHeight="1" x14ac:dyDescent="0.25"/>
    <row r="445" s="4" customFormat="1" ht="12.75" customHeight="1" x14ac:dyDescent="0.25"/>
    <row r="446" s="4" customFormat="1" ht="12.75" customHeight="1" x14ac:dyDescent="0.25"/>
    <row r="447" s="4" customFormat="1" ht="12.75" customHeight="1" x14ac:dyDescent="0.25"/>
    <row r="448" s="4" customFormat="1" ht="12.75" customHeight="1" x14ac:dyDescent="0.25"/>
    <row r="449" s="4" customFormat="1" ht="12.75" customHeight="1" x14ac:dyDescent="0.25"/>
    <row r="450" s="4" customFormat="1" ht="12.75" customHeight="1" x14ac:dyDescent="0.25"/>
    <row r="451" s="4" customFormat="1" ht="12.75" customHeight="1" x14ac:dyDescent="0.25"/>
    <row r="452" s="4" customFormat="1" ht="12.75" customHeight="1" x14ac:dyDescent="0.25"/>
    <row r="453" s="4" customFormat="1" ht="12.75" customHeight="1" x14ac:dyDescent="0.25"/>
    <row r="454" s="4" customFormat="1" ht="12.75" customHeight="1" x14ac:dyDescent="0.25"/>
    <row r="455" s="4" customFormat="1" ht="12.75" customHeight="1" x14ac:dyDescent="0.25"/>
    <row r="456" s="4" customFormat="1" ht="12.75" customHeight="1" x14ac:dyDescent="0.25"/>
    <row r="457" s="4" customFormat="1" ht="12.75" customHeight="1" x14ac:dyDescent="0.25"/>
    <row r="458" s="4" customFormat="1" ht="12.75" customHeight="1" x14ac:dyDescent="0.25"/>
    <row r="459" s="4" customFormat="1" ht="12.75" customHeight="1" x14ac:dyDescent="0.25"/>
    <row r="460" s="4" customFormat="1" ht="12.75" customHeight="1" x14ac:dyDescent="0.25"/>
    <row r="461" s="4" customFormat="1" ht="12.75" customHeight="1" x14ac:dyDescent="0.25"/>
    <row r="462" s="4" customFormat="1" ht="12.75" customHeight="1" x14ac:dyDescent="0.25"/>
    <row r="463" s="4" customFormat="1" ht="12.75" customHeight="1" x14ac:dyDescent="0.25"/>
    <row r="464" s="4" customFormat="1" ht="12.75" customHeight="1" x14ac:dyDescent="0.25"/>
    <row r="465" s="4" customFormat="1" ht="12.75" customHeight="1" x14ac:dyDescent="0.25"/>
    <row r="466" s="4" customFormat="1" ht="12.75" customHeight="1" x14ac:dyDescent="0.25"/>
    <row r="467" s="4" customFormat="1" ht="12.75" customHeight="1" x14ac:dyDescent="0.25"/>
    <row r="468" s="4" customFormat="1" ht="12.75" customHeight="1" x14ac:dyDescent="0.25"/>
    <row r="469" s="4" customFormat="1" ht="12.75" customHeight="1" x14ac:dyDescent="0.25"/>
    <row r="470" s="4" customFormat="1" ht="12.75" customHeight="1" x14ac:dyDescent="0.25"/>
    <row r="471" s="4" customFormat="1" ht="12.75" customHeight="1" x14ac:dyDescent="0.25"/>
    <row r="472" s="4" customFormat="1" ht="12.75" customHeight="1" x14ac:dyDescent="0.25"/>
    <row r="473" s="4" customFormat="1" ht="12.75" customHeight="1" x14ac:dyDescent="0.25"/>
    <row r="474" s="4" customFormat="1" ht="12.75" customHeight="1" x14ac:dyDescent="0.25"/>
    <row r="475" s="4" customFormat="1" ht="12.75" customHeight="1" x14ac:dyDescent="0.25"/>
    <row r="476" s="4" customFormat="1" ht="12.75" customHeight="1" x14ac:dyDescent="0.25"/>
    <row r="477" s="4" customFormat="1" ht="12.75" customHeight="1" x14ac:dyDescent="0.25"/>
    <row r="478" s="4" customFormat="1" ht="12.75" customHeight="1" x14ac:dyDescent="0.25"/>
    <row r="479" s="4" customFormat="1" ht="12.75" customHeight="1" x14ac:dyDescent="0.25"/>
    <row r="480" s="4" customFormat="1" ht="12.75" customHeight="1" x14ac:dyDescent="0.25"/>
    <row r="481" s="4" customFormat="1" ht="12.75" customHeight="1" x14ac:dyDescent="0.25"/>
    <row r="482" s="4" customFormat="1" ht="12.75" customHeight="1" x14ac:dyDescent="0.25"/>
    <row r="483" s="4" customFormat="1" ht="12.75" customHeight="1" x14ac:dyDescent="0.25"/>
    <row r="484" s="4" customFormat="1" ht="12.75" customHeight="1" x14ac:dyDescent="0.25"/>
    <row r="485" s="4" customFormat="1" ht="12.75" customHeight="1" x14ac:dyDescent="0.25"/>
    <row r="486" s="4" customFormat="1" ht="12.75" customHeight="1" x14ac:dyDescent="0.25"/>
    <row r="487" s="4" customFormat="1" ht="12.75" customHeight="1" x14ac:dyDescent="0.25"/>
    <row r="488" s="4" customFormat="1" ht="12.75" customHeight="1" x14ac:dyDescent="0.25"/>
    <row r="489" s="4" customFormat="1" ht="12.75" customHeight="1" x14ac:dyDescent="0.25"/>
    <row r="490" s="4" customFormat="1" ht="12.75" customHeight="1" x14ac:dyDescent="0.25"/>
    <row r="491" s="4" customFormat="1" ht="12.75" customHeight="1" x14ac:dyDescent="0.25"/>
    <row r="492" s="4" customFormat="1" ht="12.75" customHeight="1" x14ac:dyDescent="0.25"/>
    <row r="493" s="4" customFormat="1" ht="12.75" customHeight="1" x14ac:dyDescent="0.25"/>
    <row r="494" s="4" customFormat="1" ht="12.75" customHeight="1" x14ac:dyDescent="0.25"/>
    <row r="495" s="4" customFormat="1" ht="12.75" customHeight="1" x14ac:dyDescent="0.25"/>
    <row r="496" s="4" customFormat="1" ht="12.75" customHeight="1" x14ac:dyDescent="0.25"/>
    <row r="497" s="4" customFormat="1" ht="12.75" customHeight="1" x14ac:dyDescent="0.25"/>
    <row r="498" s="4" customFormat="1" ht="12.75" customHeight="1" x14ac:dyDescent="0.25"/>
    <row r="499" s="4" customFormat="1" ht="12.75" customHeight="1" x14ac:dyDescent="0.25"/>
    <row r="500" s="4" customFormat="1" ht="12.75" customHeight="1" x14ac:dyDescent="0.25"/>
    <row r="501" s="4" customFormat="1" ht="12.75" customHeight="1" x14ac:dyDescent="0.25"/>
    <row r="502" s="4" customFormat="1" ht="12.75" customHeight="1" x14ac:dyDescent="0.25"/>
    <row r="503" s="4" customFormat="1" ht="12.75" customHeight="1" x14ac:dyDescent="0.25"/>
    <row r="504" s="4" customFormat="1" ht="12.75" customHeight="1" x14ac:dyDescent="0.25"/>
    <row r="505" s="4" customFormat="1" ht="12.75" customHeight="1" x14ac:dyDescent="0.25"/>
    <row r="506" s="4" customFormat="1" ht="12.75" customHeight="1" x14ac:dyDescent="0.25"/>
    <row r="507" s="4" customFormat="1" ht="12.75" customHeight="1" x14ac:dyDescent="0.25"/>
    <row r="508" s="4" customFormat="1" ht="12.75" customHeight="1" x14ac:dyDescent="0.25"/>
    <row r="509" s="4" customFormat="1" ht="12.75" customHeight="1" x14ac:dyDescent="0.25"/>
    <row r="510" s="4" customFormat="1" ht="12.75" customHeight="1" x14ac:dyDescent="0.25"/>
    <row r="511" s="4" customFormat="1" ht="12.75" customHeight="1" x14ac:dyDescent="0.25"/>
    <row r="512" s="4" customFormat="1" ht="12.75" customHeight="1" x14ac:dyDescent="0.25"/>
    <row r="513" s="4" customFormat="1" ht="12.75" customHeight="1" x14ac:dyDescent="0.25"/>
    <row r="514" s="4" customFormat="1" ht="12.75" customHeight="1" x14ac:dyDescent="0.25"/>
    <row r="515" s="4" customFormat="1" ht="12.75" customHeight="1" x14ac:dyDescent="0.25"/>
    <row r="516" s="4" customFormat="1" ht="12.75" customHeight="1" x14ac:dyDescent="0.25"/>
    <row r="517" s="4" customFormat="1" ht="12.75" customHeight="1" x14ac:dyDescent="0.25"/>
    <row r="518" s="4" customFormat="1" ht="12.75" customHeight="1" x14ac:dyDescent="0.25"/>
    <row r="519" s="4" customFormat="1" ht="12.75" customHeight="1" x14ac:dyDescent="0.25"/>
    <row r="520" s="4" customFormat="1" ht="12.75" customHeight="1" x14ac:dyDescent="0.25"/>
    <row r="521" s="4" customFormat="1" ht="12.75" customHeight="1" x14ac:dyDescent="0.25"/>
    <row r="522" s="4" customFormat="1" ht="12.75" customHeight="1" x14ac:dyDescent="0.25"/>
    <row r="523" s="4" customFormat="1" ht="12.75" customHeight="1" x14ac:dyDescent="0.25"/>
    <row r="524" s="4" customFormat="1" ht="12.75" customHeight="1" x14ac:dyDescent="0.25"/>
    <row r="525" s="4" customFormat="1" ht="12.75" customHeight="1" x14ac:dyDescent="0.25"/>
    <row r="526" s="4" customFormat="1" ht="12.75" customHeight="1" x14ac:dyDescent="0.25"/>
    <row r="527" s="4" customFormat="1" ht="12.75" customHeight="1" x14ac:dyDescent="0.25"/>
    <row r="528" s="4" customFormat="1" ht="12.75" customHeight="1" x14ac:dyDescent="0.25"/>
    <row r="529" s="4" customFormat="1" ht="12.75" customHeight="1" x14ac:dyDescent="0.25"/>
    <row r="530" s="4" customFormat="1" ht="12.75" customHeight="1" x14ac:dyDescent="0.25"/>
    <row r="531" s="4" customFormat="1" ht="12.75" customHeight="1" x14ac:dyDescent="0.25"/>
    <row r="532" s="4" customFormat="1" ht="12.75" customHeight="1" x14ac:dyDescent="0.25"/>
    <row r="533" s="4" customFormat="1" ht="12.75" customHeight="1" x14ac:dyDescent="0.25"/>
    <row r="534" s="4" customFormat="1" ht="12.75" customHeight="1" x14ac:dyDescent="0.25"/>
    <row r="535" s="4" customFormat="1" ht="12.75" customHeight="1" x14ac:dyDescent="0.25"/>
    <row r="536" s="4" customFormat="1" ht="12.75" customHeight="1" x14ac:dyDescent="0.25"/>
    <row r="537" s="4" customFormat="1" ht="12.75" customHeight="1" x14ac:dyDescent="0.25"/>
    <row r="538" s="4" customFormat="1" ht="12.75" customHeight="1" x14ac:dyDescent="0.25"/>
    <row r="539" s="4" customFormat="1" ht="12.75" customHeight="1" x14ac:dyDescent="0.25"/>
    <row r="540" s="4" customFormat="1" ht="12.75" customHeight="1" x14ac:dyDescent="0.25"/>
    <row r="541" s="4" customFormat="1" ht="12.75" customHeight="1" x14ac:dyDescent="0.25"/>
    <row r="542" s="4" customFormat="1" ht="12.75" customHeight="1" x14ac:dyDescent="0.25"/>
    <row r="543" s="4" customFormat="1" ht="12.75" customHeight="1" x14ac:dyDescent="0.25"/>
    <row r="544" s="4" customFormat="1" ht="12.75" customHeight="1" x14ac:dyDescent="0.25"/>
    <row r="545" s="4" customFormat="1" ht="12.75" customHeight="1" x14ac:dyDescent="0.25"/>
    <row r="546" s="4" customFormat="1" ht="12.75" customHeight="1" x14ac:dyDescent="0.25"/>
    <row r="547" s="4" customFormat="1" ht="12.75" customHeight="1" x14ac:dyDescent="0.25"/>
    <row r="548" s="4" customFormat="1" ht="12.75" customHeight="1" x14ac:dyDescent="0.25"/>
    <row r="549" s="4" customFormat="1" ht="12.75" customHeight="1" x14ac:dyDescent="0.25"/>
    <row r="550" s="4" customFormat="1" ht="12.75" customHeight="1" x14ac:dyDescent="0.25"/>
    <row r="551" s="4" customFormat="1" ht="12.75" customHeight="1" x14ac:dyDescent="0.25"/>
    <row r="552" s="4" customFormat="1" ht="12.75" customHeight="1" x14ac:dyDescent="0.25"/>
    <row r="553" s="4" customFormat="1" ht="12.75" customHeight="1" x14ac:dyDescent="0.25"/>
    <row r="554" s="4" customFormat="1" ht="12.75" customHeight="1" x14ac:dyDescent="0.25"/>
    <row r="555" s="4" customFormat="1" ht="12.75" customHeight="1" x14ac:dyDescent="0.25"/>
    <row r="556" s="4" customFormat="1" ht="12.75" customHeight="1" x14ac:dyDescent="0.25"/>
    <row r="557" s="4" customFormat="1" ht="12.75" customHeight="1" x14ac:dyDescent="0.25"/>
    <row r="558" s="4" customFormat="1" ht="12.75" customHeight="1" x14ac:dyDescent="0.25"/>
    <row r="559" s="4" customFormat="1" ht="12.75" customHeight="1" x14ac:dyDescent="0.25"/>
    <row r="560" s="4" customFormat="1" ht="12.75" customHeight="1" x14ac:dyDescent="0.25"/>
    <row r="561" s="4" customFormat="1" ht="12.75" customHeight="1" x14ac:dyDescent="0.25"/>
    <row r="562" s="4" customFormat="1" ht="12.75" customHeight="1" x14ac:dyDescent="0.25"/>
    <row r="563" s="4" customFormat="1" ht="12.75" customHeight="1" x14ac:dyDescent="0.25"/>
    <row r="564" s="4" customFormat="1" ht="12.75" customHeight="1" x14ac:dyDescent="0.25"/>
    <row r="565" s="4" customFormat="1" ht="12.75" customHeight="1" x14ac:dyDescent="0.25"/>
    <row r="566" s="4" customFormat="1" ht="12.75" customHeight="1" x14ac:dyDescent="0.25"/>
    <row r="567" s="4" customFormat="1" ht="12.75" customHeight="1" x14ac:dyDescent="0.25"/>
    <row r="568" s="4" customFormat="1" ht="12.75" customHeight="1" x14ac:dyDescent="0.25"/>
    <row r="569" s="4" customFormat="1" ht="12.75" customHeight="1" x14ac:dyDescent="0.25"/>
    <row r="570" s="4" customFormat="1" ht="12.75" customHeight="1" x14ac:dyDescent="0.25"/>
    <row r="571" s="4" customFormat="1" ht="12.75" customHeight="1" x14ac:dyDescent="0.25"/>
    <row r="572" s="4" customFormat="1" ht="12.75" customHeight="1" x14ac:dyDescent="0.25"/>
    <row r="573" s="4" customFormat="1" ht="12.75" customHeight="1" x14ac:dyDescent="0.25"/>
    <row r="574" s="4" customFormat="1" ht="12.75" customHeight="1" x14ac:dyDescent="0.25"/>
    <row r="575" s="4" customFormat="1" ht="12.75" customHeight="1" x14ac:dyDescent="0.25"/>
    <row r="576" s="4" customFormat="1" ht="12.75" customHeight="1" x14ac:dyDescent="0.25"/>
    <row r="577" s="4" customFormat="1" ht="12.75" customHeight="1" x14ac:dyDescent="0.25"/>
    <row r="578" s="4" customFormat="1" ht="12.75" customHeight="1" x14ac:dyDescent="0.25"/>
    <row r="579" s="4" customFormat="1" ht="12.75" customHeight="1" x14ac:dyDescent="0.25"/>
    <row r="580" s="4" customFormat="1" ht="12.75" customHeight="1" x14ac:dyDescent="0.25"/>
    <row r="581" s="4" customFormat="1" ht="12.75" customHeight="1" x14ac:dyDescent="0.25"/>
    <row r="582" s="4" customFormat="1" ht="12.75" customHeight="1" x14ac:dyDescent="0.25"/>
    <row r="583" s="4" customFormat="1" ht="12.75" customHeight="1" x14ac:dyDescent="0.25"/>
    <row r="584" s="4" customFormat="1" ht="12.75" customHeight="1" x14ac:dyDescent="0.25"/>
    <row r="585" s="4" customFormat="1" ht="12.75" customHeight="1" x14ac:dyDescent="0.25"/>
    <row r="586" s="4" customFormat="1" ht="12.75" customHeight="1" x14ac:dyDescent="0.25"/>
    <row r="587" s="4" customFormat="1" ht="12.75" customHeight="1" x14ac:dyDescent="0.25"/>
    <row r="588" s="4" customFormat="1" ht="12.75" customHeight="1" x14ac:dyDescent="0.25"/>
    <row r="589" s="4" customFormat="1" ht="12.75" customHeight="1" x14ac:dyDescent="0.25"/>
    <row r="590" s="4" customFormat="1" ht="12.75" customHeight="1" x14ac:dyDescent="0.25"/>
    <row r="591" s="4" customFormat="1" ht="12.75" customHeight="1" x14ac:dyDescent="0.25"/>
    <row r="592" s="4" customFormat="1" ht="12.75" customHeight="1" x14ac:dyDescent="0.25"/>
    <row r="593" s="4" customFormat="1" ht="12.75" customHeight="1" x14ac:dyDescent="0.25"/>
    <row r="594" s="4" customFormat="1" ht="12.75" customHeight="1" x14ac:dyDescent="0.25"/>
    <row r="595" s="4" customFormat="1" ht="12.75" customHeight="1" x14ac:dyDescent="0.25"/>
    <row r="596" s="4" customFormat="1" ht="12.75" customHeight="1" x14ac:dyDescent="0.25"/>
    <row r="597" s="4" customFormat="1" ht="12.75" customHeight="1" x14ac:dyDescent="0.25"/>
    <row r="598" s="4" customFormat="1" ht="12.75" customHeight="1" x14ac:dyDescent="0.25"/>
    <row r="599" s="4" customFormat="1" ht="12.75" customHeight="1" x14ac:dyDescent="0.25"/>
    <row r="600" s="4" customFormat="1" ht="12.75" customHeight="1" x14ac:dyDescent="0.25"/>
    <row r="601" s="4" customFormat="1" ht="12.75" customHeight="1" x14ac:dyDescent="0.25"/>
    <row r="602" s="4" customFormat="1" ht="12.75" customHeight="1" x14ac:dyDescent="0.25"/>
    <row r="603" s="4" customFormat="1" ht="12.75" customHeight="1" x14ac:dyDescent="0.25"/>
    <row r="604" s="4" customFormat="1" ht="12.75" customHeight="1" x14ac:dyDescent="0.25"/>
    <row r="605" s="4" customFormat="1" ht="12.75" customHeight="1" x14ac:dyDescent="0.25"/>
    <row r="606" s="4" customFormat="1" ht="12.75" customHeight="1" x14ac:dyDescent="0.25"/>
    <row r="607" s="4" customFormat="1" ht="12.75" customHeight="1" x14ac:dyDescent="0.25"/>
    <row r="608" s="4" customFormat="1" ht="12.75" customHeight="1" x14ac:dyDescent="0.25"/>
    <row r="609" s="4" customFormat="1" ht="12.75" customHeight="1" x14ac:dyDescent="0.25"/>
    <row r="610" s="4" customFormat="1" ht="12.75" customHeight="1" x14ac:dyDescent="0.25"/>
    <row r="611" s="4" customFormat="1" ht="12.75" customHeight="1" x14ac:dyDescent="0.25"/>
    <row r="612" s="4" customFormat="1" ht="12.75" customHeight="1" x14ac:dyDescent="0.25"/>
    <row r="613" s="4" customFormat="1" ht="12.75" customHeight="1" x14ac:dyDescent="0.25"/>
    <row r="614" s="4" customFormat="1" ht="12.75" customHeight="1" x14ac:dyDescent="0.25"/>
    <row r="615" s="4" customFormat="1" ht="12.75" customHeight="1" x14ac:dyDescent="0.25"/>
    <row r="616" s="4" customFormat="1" ht="12.75" customHeight="1" x14ac:dyDescent="0.25"/>
    <row r="617" s="4" customFormat="1" ht="12.75" customHeight="1" x14ac:dyDescent="0.25"/>
    <row r="618" s="4" customFormat="1" ht="12.75" customHeight="1" x14ac:dyDescent="0.25"/>
    <row r="619" s="4" customFormat="1" ht="12.75" customHeight="1" x14ac:dyDescent="0.25"/>
    <row r="620" s="4" customFormat="1" ht="12.75" customHeight="1" x14ac:dyDescent="0.25"/>
    <row r="621" s="4" customFormat="1" ht="12.75" customHeight="1" x14ac:dyDescent="0.25"/>
    <row r="622" s="4" customFormat="1" ht="12.75" customHeight="1" x14ac:dyDescent="0.25"/>
    <row r="623" s="4" customFormat="1" ht="12.75" customHeight="1" x14ac:dyDescent="0.25"/>
    <row r="624" s="4" customFormat="1" ht="12.75" customHeight="1" x14ac:dyDescent="0.25"/>
    <row r="625" s="4" customFormat="1" ht="12.75" customHeight="1" x14ac:dyDescent="0.25"/>
    <row r="626" s="4" customFormat="1" ht="12.75" customHeight="1" x14ac:dyDescent="0.25"/>
    <row r="627" s="4" customFormat="1" ht="12.75" customHeight="1" x14ac:dyDescent="0.25"/>
    <row r="628" s="4" customFormat="1" ht="12.75" customHeight="1" x14ac:dyDescent="0.25"/>
    <row r="629" s="4" customFormat="1" ht="12.75" customHeight="1" x14ac:dyDescent="0.25"/>
    <row r="630" s="4" customFormat="1" ht="12.75" customHeight="1" x14ac:dyDescent="0.25"/>
    <row r="631" s="4" customFormat="1" ht="12.75" customHeight="1" x14ac:dyDescent="0.25"/>
    <row r="632" s="4" customFormat="1" ht="12.75" customHeight="1" x14ac:dyDescent="0.25"/>
    <row r="633" s="4" customFormat="1" ht="12.75" customHeight="1" x14ac:dyDescent="0.25"/>
    <row r="634" s="4" customFormat="1" ht="12.75" customHeight="1" x14ac:dyDescent="0.25"/>
    <row r="635" s="4" customFormat="1" ht="12.75" customHeight="1" x14ac:dyDescent="0.25"/>
    <row r="636" s="4" customFormat="1" ht="12.75" customHeight="1" x14ac:dyDescent="0.25"/>
    <row r="637" s="4" customFormat="1" ht="12.75" customHeight="1" x14ac:dyDescent="0.25"/>
    <row r="638" s="4" customFormat="1" ht="12.75" customHeight="1" x14ac:dyDescent="0.25"/>
    <row r="639" s="4" customFormat="1" ht="12.75" customHeight="1" x14ac:dyDescent="0.25"/>
    <row r="640" s="4" customFormat="1" ht="12.75" customHeight="1" x14ac:dyDescent="0.25"/>
    <row r="641" s="4" customFormat="1" ht="12.75" customHeight="1" x14ac:dyDescent="0.25"/>
    <row r="642" s="4" customFormat="1" ht="12.75" customHeight="1" x14ac:dyDescent="0.25"/>
    <row r="643" s="4" customFormat="1" ht="12.75" customHeight="1" x14ac:dyDescent="0.25"/>
    <row r="644" s="4" customFormat="1" ht="12.75" customHeight="1" x14ac:dyDescent="0.25"/>
    <row r="645" s="4" customFormat="1" ht="12.75" customHeight="1" x14ac:dyDescent="0.25"/>
    <row r="646" s="4" customFormat="1" ht="12.75" customHeight="1" x14ac:dyDescent="0.25"/>
    <row r="647" s="4" customFormat="1" ht="12.75" customHeight="1" x14ac:dyDescent="0.25"/>
    <row r="648" s="4" customFormat="1" ht="12.75" customHeight="1" x14ac:dyDescent="0.25"/>
    <row r="649" s="4" customFormat="1" ht="12.75" customHeight="1" x14ac:dyDescent="0.25"/>
    <row r="650" s="4" customFormat="1" ht="12.75" customHeight="1" x14ac:dyDescent="0.25"/>
    <row r="651" s="4" customFormat="1" ht="12.75" customHeight="1" x14ac:dyDescent="0.25"/>
    <row r="652" s="4" customFormat="1" ht="12.75" customHeight="1" x14ac:dyDescent="0.25"/>
    <row r="653" s="4" customFormat="1" ht="12.75" customHeight="1" x14ac:dyDescent="0.25"/>
    <row r="654" s="4" customFormat="1" ht="12.75" customHeight="1" x14ac:dyDescent="0.25"/>
    <row r="655" s="4" customFormat="1" ht="12.75" customHeight="1" x14ac:dyDescent="0.25"/>
    <row r="656" s="4" customFormat="1" ht="12.75" customHeight="1" x14ac:dyDescent="0.25"/>
    <row r="657" s="4" customFormat="1" ht="12.75" customHeight="1" x14ac:dyDescent="0.25"/>
    <row r="658" s="4" customFormat="1" ht="12.75" customHeight="1" x14ac:dyDescent="0.25"/>
    <row r="659" s="4" customFormat="1" ht="12.75" customHeight="1" x14ac:dyDescent="0.25"/>
    <row r="660" s="4" customFormat="1" ht="12.75" customHeight="1" x14ac:dyDescent="0.25"/>
    <row r="661" s="4" customFormat="1" ht="12.75" customHeight="1" x14ac:dyDescent="0.25"/>
    <row r="662" s="4" customFormat="1" ht="12.75" customHeight="1" x14ac:dyDescent="0.25"/>
    <row r="663" s="4" customFormat="1" ht="12.75" customHeight="1" x14ac:dyDescent="0.25"/>
    <row r="664" s="4" customFormat="1" ht="12.75" customHeight="1" x14ac:dyDescent="0.25"/>
    <row r="665" s="4" customFormat="1" ht="12.75" customHeight="1" x14ac:dyDescent="0.25"/>
    <row r="666" s="4" customFormat="1" ht="12.75" customHeight="1" x14ac:dyDescent="0.25"/>
    <row r="667" s="4" customFormat="1" ht="12.75" customHeight="1" x14ac:dyDescent="0.25"/>
    <row r="668" s="4" customFormat="1" ht="12.75" customHeight="1" x14ac:dyDescent="0.25"/>
    <row r="669" s="4" customFormat="1" ht="12.75" customHeight="1" x14ac:dyDescent="0.25"/>
    <row r="670" s="4" customFormat="1" ht="12.75" customHeight="1" x14ac:dyDescent="0.25"/>
    <row r="671" s="4" customFormat="1" ht="12.75" customHeight="1" x14ac:dyDescent="0.25"/>
    <row r="672" s="4" customFormat="1" ht="12.75" customHeight="1" x14ac:dyDescent="0.25"/>
    <row r="673" s="4" customFormat="1" ht="12.75" customHeight="1" x14ac:dyDescent="0.25"/>
    <row r="674" s="4" customFormat="1" ht="12.75" customHeight="1" x14ac:dyDescent="0.25"/>
    <row r="675" s="4" customFormat="1" ht="12.75" customHeight="1" x14ac:dyDescent="0.25"/>
    <row r="676" s="4" customFormat="1" ht="12.75" customHeight="1" x14ac:dyDescent="0.25"/>
    <row r="677" s="4" customFormat="1" ht="12.75" customHeight="1" x14ac:dyDescent="0.25"/>
    <row r="678" s="4" customFormat="1" ht="12.75" customHeight="1" x14ac:dyDescent="0.25"/>
    <row r="679" s="4" customFormat="1" ht="12.75" customHeight="1" x14ac:dyDescent="0.25"/>
    <row r="680" s="4" customFormat="1" ht="12.75" customHeight="1" x14ac:dyDescent="0.25"/>
    <row r="681" s="4" customFormat="1" ht="12.75" customHeight="1" x14ac:dyDescent="0.25"/>
    <row r="682" s="4" customFormat="1" ht="12.75" customHeight="1" x14ac:dyDescent="0.25"/>
    <row r="683" s="4" customFormat="1" ht="12.75" customHeight="1" x14ac:dyDescent="0.25"/>
    <row r="684" s="4" customFormat="1" ht="12.75" customHeight="1" x14ac:dyDescent="0.25"/>
    <row r="685" s="4" customFormat="1" ht="12.75" customHeight="1" x14ac:dyDescent="0.25"/>
    <row r="686" s="4" customFormat="1" ht="12.75" customHeight="1" x14ac:dyDescent="0.25"/>
    <row r="687" s="4" customFormat="1" ht="12.75" customHeight="1" x14ac:dyDescent="0.25"/>
    <row r="688" s="4" customFormat="1" ht="12.75" customHeight="1" x14ac:dyDescent="0.25"/>
    <row r="689" s="4" customFormat="1" ht="12.75" customHeight="1" x14ac:dyDescent="0.25"/>
    <row r="690" s="4" customFormat="1" ht="12.75" customHeight="1" x14ac:dyDescent="0.25"/>
    <row r="691" s="4" customFormat="1" ht="12.75" customHeight="1" x14ac:dyDescent="0.25"/>
    <row r="692" s="4" customFormat="1" ht="12.75" customHeight="1" x14ac:dyDescent="0.25"/>
    <row r="693" s="4" customFormat="1" ht="12.75" customHeight="1" x14ac:dyDescent="0.25"/>
    <row r="694" s="4" customFormat="1" ht="12.75" customHeight="1" x14ac:dyDescent="0.25"/>
    <row r="695" s="4" customFormat="1" ht="12.75" customHeight="1" x14ac:dyDescent="0.25"/>
    <row r="696" s="4" customFormat="1" ht="12.75" customHeight="1" x14ac:dyDescent="0.25"/>
    <row r="697" s="4" customFormat="1" ht="12.75" customHeight="1" x14ac:dyDescent="0.25"/>
    <row r="698" s="4" customFormat="1" ht="12.75" customHeight="1" x14ac:dyDescent="0.25"/>
    <row r="699" s="4" customFormat="1" ht="12.75" customHeight="1" x14ac:dyDescent="0.25"/>
    <row r="700" s="4" customFormat="1" ht="12.75" customHeight="1" x14ac:dyDescent="0.25"/>
    <row r="701" s="4" customFormat="1" ht="12.75" customHeight="1" x14ac:dyDescent="0.25"/>
    <row r="702" s="4" customFormat="1" ht="12.75" customHeight="1" x14ac:dyDescent="0.25"/>
    <row r="703" s="4" customFormat="1" ht="12.75" customHeight="1" x14ac:dyDescent="0.25"/>
    <row r="704" s="4" customFormat="1" ht="12.75" customHeight="1" x14ac:dyDescent="0.25"/>
    <row r="705" s="4" customFormat="1" ht="12.75" customHeight="1" x14ac:dyDescent="0.25"/>
    <row r="706" s="4" customFormat="1" ht="12.75" customHeight="1" x14ac:dyDescent="0.25"/>
    <row r="707" s="4" customFormat="1" ht="12.75" customHeight="1" x14ac:dyDescent="0.25"/>
    <row r="708" s="4" customFormat="1" ht="12.75" customHeight="1" x14ac:dyDescent="0.25"/>
    <row r="709" s="4" customFormat="1" ht="12.75" customHeight="1" x14ac:dyDescent="0.25"/>
    <row r="710" s="4" customFormat="1" ht="12.75" customHeight="1" x14ac:dyDescent="0.25"/>
    <row r="711" s="4" customFormat="1" ht="12.75" customHeight="1" x14ac:dyDescent="0.25"/>
    <row r="712" s="4" customFormat="1" ht="12.75" customHeight="1" x14ac:dyDescent="0.25"/>
    <row r="713" s="4" customFormat="1" ht="12.75" customHeight="1" x14ac:dyDescent="0.25"/>
    <row r="714" s="4" customFormat="1" ht="12.75" customHeight="1" x14ac:dyDescent="0.25"/>
    <row r="715" s="4" customFormat="1" ht="12.75" customHeight="1" x14ac:dyDescent="0.25"/>
    <row r="716" s="4" customFormat="1" ht="12.75" customHeight="1" x14ac:dyDescent="0.25"/>
    <row r="717" s="4" customFormat="1" ht="12.75" customHeight="1" x14ac:dyDescent="0.25"/>
    <row r="718" s="4" customFormat="1" ht="12.75" customHeight="1" x14ac:dyDescent="0.25"/>
    <row r="719" s="4" customFormat="1" ht="12.75" customHeight="1" x14ac:dyDescent="0.25"/>
    <row r="720" s="4" customFormat="1" ht="12.75" customHeight="1" x14ac:dyDescent="0.25"/>
    <row r="721" s="4" customFormat="1" ht="12.75" customHeight="1" x14ac:dyDescent="0.25"/>
    <row r="722" s="4" customFormat="1" ht="12.75" customHeight="1" x14ac:dyDescent="0.25"/>
    <row r="723" s="4" customFormat="1" ht="12.75" customHeight="1" x14ac:dyDescent="0.25"/>
    <row r="724" s="4" customFormat="1" ht="12.75" customHeight="1" x14ac:dyDescent="0.25"/>
    <row r="725" s="4" customFormat="1" ht="12.75" customHeight="1" x14ac:dyDescent="0.25"/>
    <row r="726" s="4" customFormat="1" ht="12.75" customHeight="1" x14ac:dyDescent="0.25"/>
    <row r="727" s="4" customFormat="1" ht="12.75" customHeight="1" x14ac:dyDescent="0.25"/>
    <row r="728" s="4" customFormat="1" ht="12.75" customHeight="1" x14ac:dyDescent="0.25"/>
    <row r="729" s="4" customFormat="1" ht="12.75" customHeight="1" x14ac:dyDescent="0.25"/>
    <row r="730" s="4" customFormat="1" ht="12.75" customHeight="1" x14ac:dyDescent="0.25"/>
    <row r="731" s="4" customFormat="1" ht="12.75" customHeight="1" x14ac:dyDescent="0.25"/>
    <row r="732" s="4" customFormat="1" ht="12.75" customHeight="1" x14ac:dyDescent="0.25"/>
    <row r="733" s="4" customFormat="1" ht="12.75" customHeight="1" x14ac:dyDescent="0.25"/>
    <row r="734" s="4" customFormat="1" ht="12.75" customHeight="1" x14ac:dyDescent="0.25"/>
    <row r="735" s="4" customFormat="1" ht="12.75" customHeight="1" x14ac:dyDescent="0.25"/>
    <row r="736" s="4" customFormat="1" ht="12.75" customHeight="1" x14ac:dyDescent="0.25"/>
    <row r="737" s="4" customFormat="1" ht="12.75" customHeight="1" x14ac:dyDescent="0.25"/>
    <row r="738" s="4" customFormat="1" ht="12.75" customHeight="1" x14ac:dyDescent="0.25"/>
    <row r="739" s="4" customFormat="1" ht="12.75" customHeight="1" x14ac:dyDescent="0.25"/>
    <row r="740" s="4" customFormat="1" ht="12.75" customHeight="1" x14ac:dyDescent="0.25"/>
    <row r="741" s="4" customFormat="1" ht="12.75" customHeight="1" x14ac:dyDescent="0.25"/>
    <row r="742" s="4" customFormat="1" ht="12.75" customHeight="1" x14ac:dyDescent="0.25"/>
    <row r="743" s="4" customFormat="1" ht="12.75" customHeight="1" x14ac:dyDescent="0.25"/>
    <row r="744" s="4" customFormat="1" ht="12.75" customHeight="1" x14ac:dyDescent="0.25"/>
    <row r="745" s="4" customFormat="1" ht="12.75" customHeight="1" x14ac:dyDescent="0.25"/>
    <row r="746" s="4" customFormat="1" ht="12.75" customHeight="1" x14ac:dyDescent="0.25"/>
    <row r="747" s="4" customFormat="1" ht="12.75" customHeight="1" x14ac:dyDescent="0.25"/>
    <row r="748" s="4" customFormat="1" ht="12.75" customHeight="1" x14ac:dyDescent="0.25"/>
    <row r="749" s="4" customFormat="1" ht="12.75" customHeight="1" x14ac:dyDescent="0.25"/>
    <row r="750" s="4" customFormat="1" ht="12.75" customHeight="1" x14ac:dyDescent="0.25"/>
    <row r="751" s="4" customFormat="1" ht="12.75" customHeight="1" x14ac:dyDescent="0.25"/>
    <row r="752" s="4" customFormat="1" ht="12.75" customHeight="1" x14ac:dyDescent="0.25"/>
    <row r="753" s="4" customFormat="1" ht="12.75" customHeight="1" x14ac:dyDescent="0.25"/>
    <row r="754" s="4" customFormat="1" ht="12.75" customHeight="1" x14ac:dyDescent="0.25"/>
    <row r="755" s="4" customFormat="1" ht="12.75" customHeight="1" x14ac:dyDescent="0.25"/>
    <row r="756" s="4" customFormat="1" ht="12.75" customHeight="1" x14ac:dyDescent="0.25"/>
    <row r="757" s="4" customFormat="1" ht="12.75" customHeight="1" x14ac:dyDescent="0.25"/>
    <row r="758" s="4" customFormat="1" ht="12.75" customHeight="1" x14ac:dyDescent="0.25"/>
    <row r="759" s="4" customFormat="1" ht="12.75" customHeight="1" x14ac:dyDescent="0.25"/>
    <row r="760" s="4" customFormat="1" ht="12.75" customHeight="1" x14ac:dyDescent="0.25"/>
    <row r="761" s="4" customFormat="1" ht="12.75" customHeight="1" x14ac:dyDescent="0.25"/>
    <row r="762" s="4" customFormat="1" ht="12.75" customHeight="1" x14ac:dyDescent="0.25"/>
    <row r="763" s="4" customFormat="1" ht="12.75" customHeight="1" x14ac:dyDescent="0.25"/>
    <row r="764" s="4" customFormat="1" ht="12.75" customHeight="1" x14ac:dyDescent="0.25"/>
    <row r="765" s="4" customFormat="1" ht="12.75" customHeight="1" x14ac:dyDescent="0.25"/>
    <row r="766" s="4" customFormat="1" ht="12.75" customHeight="1" x14ac:dyDescent="0.25"/>
    <row r="767" s="4" customFormat="1" ht="12.75" customHeight="1" x14ac:dyDescent="0.25"/>
    <row r="768" s="4" customFormat="1" ht="12.75" customHeight="1" x14ac:dyDescent="0.25"/>
    <row r="769" s="4" customFormat="1" ht="12.75" customHeight="1" x14ac:dyDescent="0.25"/>
    <row r="770" s="4" customFormat="1" ht="12.75" customHeight="1" x14ac:dyDescent="0.25"/>
    <row r="771" s="4" customFormat="1" ht="12.75" customHeight="1" x14ac:dyDescent="0.25"/>
    <row r="772" s="4" customFormat="1" ht="12.75" customHeight="1" x14ac:dyDescent="0.25"/>
    <row r="773" s="4" customFormat="1" ht="12.75" customHeight="1" x14ac:dyDescent="0.25"/>
    <row r="774" s="4" customFormat="1" ht="12.75" customHeight="1" x14ac:dyDescent="0.25"/>
    <row r="775" s="4" customFormat="1" ht="12.75" customHeight="1" x14ac:dyDescent="0.25"/>
    <row r="776" s="4" customFormat="1" ht="12.75" customHeight="1" x14ac:dyDescent="0.25"/>
    <row r="777" s="4" customFormat="1" ht="12.75" customHeight="1" x14ac:dyDescent="0.25"/>
    <row r="778" s="4" customFormat="1" ht="12.75" customHeight="1" x14ac:dyDescent="0.25"/>
    <row r="779" s="4" customFormat="1" ht="12.75" customHeight="1" x14ac:dyDescent="0.25"/>
    <row r="780" s="4" customFormat="1" ht="12.75" customHeight="1" x14ac:dyDescent="0.25"/>
    <row r="781" s="4" customFormat="1" ht="12.75" customHeight="1" x14ac:dyDescent="0.25"/>
    <row r="782" s="4" customFormat="1" ht="12.75" customHeight="1" x14ac:dyDescent="0.25"/>
    <row r="783" s="4" customFormat="1" ht="12.75" customHeight="1" x14ac:dyDescent="0.25"/>
    <row r="784" s="4" customFormat="1" ht="12.75" customHeight="1" x14ac:dyDescent="0.25"/>
    <row r="785" s="4" customFormat="1" ht="12.75" customHeight="1" x14ac:dyDescent="0.25"/>
    <row r="786" s="4" customFormat="1" ht="12.75" customHeight="1" x14ac:dyDescent="0.25"/>
    <row r="787" s="4" customFormat="1" ht="12.75" customHeight="1" x14ac:dyDescent="0.25"/>
    <row r="788" s="4" customFormat="1" ht="12.75" customHeight="1" x14ac:dyDescent="0.25"/>
    <row r="789" s="4" customFormat="1" ht="12.75" customHeight="1" x14ac:dyDescent="0.25"/>
    <row r="790" s="4" customFormat="1" ht="12.75" customHeight="1" x14ac:dyDescent="0.25"/>
    <row r="791" s="4" customFormat="1" ht="12.75" customHeight="1" x14ac:dyDescent="0.25"/>
    <row r="792" s="4" customFormat="1" ht="12.75" customHeight="1" x14ac:dyDescent="0.25"/>
    <row r="793" s="4" customFormat="1" ht="12.75" customHeight="1" x14ac:dyDescent="0.25"/>
    <row r="794" s="4" customFormat="1" ht="12.75" customHeight="1" x14ac:dyDescent="0.25"/>
    <row r="795" s="4" customFormat="1" ht="12.75" customHeight="1" x14ac:dyDescent="0.25"/>
    <row r="796" s="4" customFormat="1" ht="12.75" customHeight="1" x14ac:dyDescent="0.25"/>
    <row r="797" s="4" customFormat="1" ht="12.75" customHeight="1" x14ac:dyDescent="0.25"/>
    <row r="798" s="4" customFormat="1" ht="12.75" customHeight="1" x14ac:dyDescent="0.25"/>
    <row r="799" s="4" customFormat="1" ht="12.75" customHeight="1" x14ac:dyDescent="0.25"/>
    <row r="800" s="4" customFormat="1" ht="12.75" customHeight="1" x14ac:dyDescent="0.25"/>
    <row r="801" s="4" customFormat="1" ht="12.75" customHeight="1" x14ac:dyDescent="0.25"/>
    <row r="802" s="4" customFormat="1" ht="12.75" customHeight="1" x14ac:dyDescent="0.25"/>
    <row r="803" s="4" customFormat="1" ht="12.75" customHeight="1" x14ac:dyDescent="0.25"/>
    <row r="804" s="4" customFormat="1" ht="12.75" customHeight="1" x14ac:dyDescent="0.25"/>
    <row r="805" s="4" customFormat="1" ht="12.75" customHeight="1" x14ac:dyDescent="0.25"/>
    <row r="806" s="4" customFormat="1" ht="12.75" customHeight="1" x14ac:dyDescent="0.25"/>
    <row r="807" s="4" customFormat="1" ht="12.75" customHeight="1" x14ac:dyDescent="0.25"/>
    <row r="808" s="4" customFormat="1" ht="12.75" customHeight="1" x14ac:dyDescent="0.25"/>
    <row r="809" s="4" customFormat="1" ht="12.75" customHeight="1" x14ac:dyDescent="0.25"/>
    <row r="810" s="4" customFormat="1" ht="12.75" customHeight="1" x14ac:dyDescent="0.25"/>
    <row r="811" s="4" customFormat="1" ht="12.75" customHeight="1" x14ac:dyDescent="0.25"/>
    <row r="812" s="4" customFormat="1" ht="12.75" customHeight="1" x14ac:dyDescent="0.25"/>
    <row r="813" s="4" customFormat="1" ht="12.75" customHeight="1" x14ac:dyDescent="0.25"/>
    <row r="814" s="4" customFormat="1" ht="12.75" customHeight="1" x14ac:dyDescent="0.25"/>
    <row r="815" s="4" customFormat="1" ht="12.75" customHeight="1" x14ac:dyDescent="0.25"/>
    <row r="816" s="4" customFormat="1" ht="12.75" customHeight="1" x14ac:dyDescent="0.25"/>
    <row r="817" s="4" customFormat="1" ht="12.75" customHeight="1" x14ac:dyDescent="0.25"/>
    <row r="818" s="4" customFormat="1" ht="12.75" customHeight="1" x14ac:dyDescent="0.25"/>
    <row r="819" s="4" customFormat="1" ht="12.75" customHeight="1" x14ac:dyDescent="0.25"/>
    <row r="820" s="4" customFormat="1" ht="12.75" customHeight="1" x14ac:dyDescent="0.25"/>
    <row r="821" s="4" customFormat="1" ht="12.75" customHeight="1" x14ac:dyDescent="0.25"/>
    <row r="822" s="4" customFormat="1" ht="12.75" customHeight="1" x14ac:dyDescent="0.25"/>
    <row r="823" s="4" customFormat="1" ht="12.75" customHeight="1" x14ac:dyDescent="0.25"/>
    <row r="824" s="4" customFormat="1" ht="12.75" customHeight="1" x14ac:dyDescent="0.25"/>
    <row r="825" s="4" customFormat="1" ht="12.75" customHeight="1" x14ac:dyDescent="0.25"/>
    <row r="826" s="4" customFormat="1" ht="12.75" customHeight="1" x14ac:dyDescent="0.25"/>
    <row r="827" s="4" customFormat="1" ht="12.75" customHeight="1" x14ac:dyDescent="0.25"/>
    <row r="828" s="4" customFormat="1" ht="12.75" customHeight="1" x14ac:dyDescent="0.25"/>
    <row r="829" s="4" customFormat="1" ht="12.75" customHeight="1" x14ac:dyDescent="0.25"/>
    <row r="830" s="4" customFormat="1" ht="12.75" customHeight="1" x14ac:dyDescent="0.25"/>
    <row r="831" s="4" customFormat="1" ht="12.75" customHeight="1" x14ac:dyDescent="0.25"/>
    <row r="832" s="4" customFormat="1" ht="12.75" customHeight="1" x14ac:dyDescent="0.25"/>
    <row r="833" s="4" customFormat="1" ht="12.75" customHeight="1" x14ac:dyDescent="0.25"/>
    <row r="834" s="4" customFormat="1" ht="12.75" customHeight="1" x14ac:dyDescent="0.25"/>
    <row r="835" s="4" customFormat="1" ht="12.75" customHeight="1" x14ac:dyDescent="0.25"/>
    <row r="836" s="4" customFormat="1" ht="12.75" customHeight="1" x14ac:dyDescent="0.25"/>
    <row r="837" s="4" customFormat="1" ht="12.75" customHeight="1" x14ac:dyDescent="0.25"/>
    <row r="838" s="4" customFormat="1" ht="12.75" customHeight="1" x14ac:dyDescent="0.25"/>
    <row r="839" s="4" customFormat="1" ht="12.75" customHeight="1" x14ac:dyDescent="0.25"/>
    <row r="840" s="4" customFormat="1" ht="12.75" customHeight="1" x14ac:dyDescent="0.25"/>
    <row r="841" s="4" customFormat="1" ht="12.75" customHeight="1" x14ac:dyDescent="0.25"/>
    <row r="842" s="4" customFormat="1" ht="12.75" customHeight="1" x14ac:dyDescent="0.25"/>
    <row r="843" s="4" customFormat="1" ht="12.75" customHeight="1" x14ac:dyDescent="0.25"/>
    <row r="844" s="4" customFormat="1" ht="12.75" customHeight="1" x14ac:dyDescent="0.25"/>
    <row r="845" s="4" customFormat="1" ht="12.75" customHeight="1" x14ac:dyDescent="0.25"/>
    <row r="846" s="4" customFormat="1" ht="12.75" customHeight="1" x14ac:dyDescent="0.25"/>
    <row r="847" s="4" customFormat="1" ht="12.75" customHeight="1" x14ac:dyDescent="0.25"/>
    <row r="848" s="4" customFormat="1" ht="12.75" customHeight="1" x14ac:dyDescent="0.25"/>
    <row r="849" s="4" customFormat="1" ht="12.75" customHeight="1" x14ac:dyDescent="0.25"/>
    <row r="850" s="4" customFormat="1" ht="12.75" customHeight="1" x14ac:dyDescent="0.25"/>
    <row r="851" s="4" customFormat="1" ht="12.75" customHeight="1" x14ac:dyDescent="0.25"/>
    <row r="852" s="4" customFormat="1" ht="12.75" customHeight="1" x14ac:dyDescent="0.25"/>
    <row r="853" s="4" customFormat="1" ht="12.75" customHeight="1" x14ac:dyDescent="0.25"/>
    <row r="854" s="4" customFormat="1" ht="12.75" customHeight="1" x14ac:dyDescent="0.25"/>
    <row r="855" s="4" customFormat="1" ht="12.75" customHeight="1" x14ac:dyDescent="0.25"/>
    <row r="856" s="4" customFormat="1" ht="12.75" customHeight="1" x14ac:dyDescent="0.25"/>
    <row r="857" s="4" customFormat="1" ht="12.75" customHeight="1" x14ac:dyDescent="0.25"/>
    <row r="858" s="4" customFormat="1" ht="12.75" customHeight="1" x14ac:dyDescent="0.25"/>
    <row r="859" s="4" customFormat="1" ht="12.75" customHeight="1" x14ac:dyDescent="0.25"/>
    <row r="860" s="4" customFormat="1" ht="12.75" customHeight="1" x14ac:dyDescent="0.25"/>
    <row r="861" s="4" customFormat="1" ht="12.75" customHeight="1" x14ac:dyDescent="0.25"/>
    <row r="862" s="4" customFormat="1" ht="12.75" customHeight="1" x14ac:dyDescent="0.25"/>
    <row r="863" s="4" customFormat="1" ht="12.75" customHeight="1" x14ac:dyDescent="0.25"/>
    <row r="864" s="4" customFormat="1" ht="12.75" customHeight="1" x14ac:dyDescent="0.25"/>
    <row r="865" s="4" customFormat="1" ht="12.75" customHeight="1" x14ac:dyDescent="0.25"/>
    <row r="866" s="4" customFormat="1" ht="12.75" customHeight="1" x14ac:dyDescent="0.25"/>
    <row r="867" s="4" customFormat="1" ht="12.75" customHeight="1" x14ac:dyDescent="0.25"/>
    <row r="868" s="4" customFormat="1" ht="12.75" customHeight="1" x14ac:dyDescent="0.25"/>
    <row r="869" s="4" customFormat="1" ht="12.75" customHeight="1" x14ac:dyDescent="0.25"/>
    <row r="870" s="4" customFormat="1" ht="12.75" customHeight="1" x14ac:dyDescent="0.25"/>
    <row r="871" s="4" customFormat="1" ht="12.75" customHeight="1" x14ac:dyDescent="0.25"/>
    <row r="872" s="4" customFormat="1" ht="12.75" customHeight="1" x14ac:dyDescent="0.25"/>
    <row r="873" s="4" customFormat="1" ht="12.75" customHeight="1" x14ac:dyDescent="0.25"/>
    <row r="874" s="4" customFormat="1" ht="12.75" customHeight="1" x14ac:dyDescent="0.25"/>
    <row r="875" s="4" customFormat="1" ht="12.75" customHeight="1" x14ac:dyDescent="0.25"/>
    <row r="876" s="4" customFormat="1" ht="12.75" customHeight="1" x14ac:dyDescent="0.25"/>
    <row r="877" s="4" customFormat="1" ht="12.75" customHeight="1" x14ac:dyDescent="0.25"/>
    <row r="878" s="4" customFormat="1" ht="12.75" customHeight="1" x14ac:dyDescent="0.25"/>
    <row r="879" s="4" customFormat="1" ht="12.75" customHeight="1" x14ac:dyDescent="0.25"/>
    <row r="880" s="4" customFormat="1" ht="12.75" customHeight="1" x14ac:dyDescent="0.25"/>
    <row r="881" s="4" customFormat="1" ht="12.75" customHeight="1" x14ac:dyDescent="0.25"/>
    <row r="882" s="4" customFormat="1" ht="12.75" customHeight="1" x14ac:dyDescent="0.25"/>
    <row r="883" s="4" customFormat="1" ht="12.75" customHeight="1" x14ac:dyDescent="0.25"/>
    <row r="884" s="4" customFormat="1" ht="12.75" customHeight="1" x14ac:dyDescent="0.25"/>
    <row r="885" s="4" customFormat="1" ht="12.75" customHeight="1" x14ac:dyDescent="0.25"/>
    <row r="886" s="4" customFormat="1" ht="12.75" customHeight="1" x14ac:dyDescent="0.25"/>
    <row r="887" s="4" customFormat="1" ht="12.75" customHeight="1" x14ac:dyDescent="0.25"/>
    <row r="888" s="4" customFormat="1" ht="12.75" customHeight="1" x14ac:dyDescent="0.25"/>
    <row r="889" s="4" customFormat="1" ht="12.75" customHeight="1" x14ac:dyDescent="0.25"/>
    <row r="890" s="4" customFormat="1" ht="12.75" customHeight="1" x14ac:dyDescent="0.25"/>
    <row r="891" s="4" customFormat="1" ht="12.75" customHeight="1" x14ac:dyDescent="0.25"/>
    <row r="892" s="4" customFormat="1" ht="12.75" customHeight="1" x14ac:dyDescent="0.25"/>
    <row r="893" s="4" customFormat="1" ht="12.75" customHeight="1" x14ac:dyDescent="0.25"/>
    <row r="894" s="4" customFormat="1" ht="12.75" customHeight="1" x14ac:dyDescent="0.25"/>
    <row r="895" s="4" customFormat="1" ht="12.75" customHeight="1" x14ac:dyDescent="0.25"/>
    <row r="896" s="4" customFormat="1" ht="12.75" customHeight="1" x14ac:dyDescent="0.25"/>
    <row r="897" s="4" customFormat="1" ht="12.75" customHeight="1" x14ac:dyDescent="0.25"/>
    <row r="898" s="4" customFormat="1" ht="12.75" customHeight="1" x14ac:dyDescent="0.25"/>
    <row r="899" s="4" customFormat="1" ht="12.75" customHeight="1" x14ac:dyDescent="0.25"/>
    <row r="900" s="4" customFormat="1" ht="12.75" customHeight="1" x14ac:dyDescent="0.25"/>
    <row r="901" s="4" customFormat="1" ht="12.75" customHeight="1" x14ac:dyDescent="0.25"/>
    <row r="902" s="4" customFormat="1" ht="12.75" customHeight="1" x14ac:dyDescent="0.25"/>
    <row r="903" s="4" customFormat="1" ht="12.75" customHeight="1" x14ac:dyDescent="0.25"/>
    <row r="904" s="4" customFormat="1" ht="12.75" customHeight="1" x14ac:dyDescent="0.25"/>
    <row r="905" s="4" customFormat="1" ht="12.75" customHeight="1" x14ac:dyDescent="0.25"/>
    <row r="906" s="4" customFormat="1" ht="12.75" customHeight="1" x14ac:dyDescent="0.25"/>
    <row r="907" s="4" customFormat="1" ht="12.75" customHeight="1" x14ac:dyDescent="0.25"/>
    <row r="908" s="4" customFormat="1" ht="12.75" customHeight="1" x14ac:dyDescent="0.25"/>
    <row r="909" s="4" customFormat="1" ht="12.75" customHeight="1" x14ac:dyDescent="0.25"/>
    <row r="910" s="4" customFormat="1" ht="12.75" customHeight="1" x14ac:dyDescent="0.25"/>
    <row r="911" s="4" customFormat="1" ht="12.75" customHeight="1" x14ac:dyDescent="0.25"/>
    <row r="912" s="4" customFormat="1" ht="12.75" customHeight="1" x14ac:dyDescent="0.25"/>
    <row r="913" s="4" customFormat="1" ht="12.75" customHeight="1" x14ac:dyDescent="0.25"/>
    <row r="914" s="4" customFormat="1" ht="12.75" customHeight="1" x14ac:dyDescent="0.25"/>
    <row r="915" s="4" customFormat="1" ht="12.75" customHeight="1" x14ac:dyDescent="0.25"/>
    <row r="916" s="4" customFormat="1" ht="12.75" customHeight="1" x14ac:dyDescent="0.25"/>
    <row r="917" s="4" customFormat="1" ht="12.75" customHeight="1" x14ac:dyDescent="0.25"/>
    <row r="918" s="4" customFormat="1" ht="12.75" customHeight="1" x14ac:dyDescent="0.25"/>
    <row r="919" s="4" customFormat="1" ht="12.75" customHeight="1" x14ac:dyDescent="0.25"/>
    <row r="920" s="4" customFormat="1" ht="12.75" customHeight="1" x14ac:dyDescent="0.25"/>
    <row r="921" s="4" customFormat="1" ht="12.75" customHeight="1" x14ac:dyDescent="0.25"/>
    <row r="922" s="4" customFormat="1" ht="12.75" customHeight="1" x14ac:dyDescent="0.25"/>
    <row r="923" s="4" customFormat="1" ht="12.75" customHeight="1" x14ac:dyDescent="0.25"/>
    <row r="924" s="4" customFormat="1" ht="12.75" customHeight="1" x14ac:dyDescent="0.25"/>
    <row r="925" s="4" customFormat="1" ht="12.75" customHeight="1" x14ac:dyDescent="0.25"/>
    <row r="926" s="4" customFormat="1" ht="12.75" customHeight="1" x14ac:dyDescent="0.25"/>
    <row r="927" s="4" customFormat="1" ht="12.75" customHeight="1" x14ac:dyDescent="0.25"/>
    <row r="928" s="4" customFormat="1" ht="12.75" customHeight="1" x14ac:dyDescent="0.25"/>
    <row r="929" s="4" customFormat="1" ht="12.75" customHeight="1" x14ac:dyDescent="0.25"/>
    <row r="930" s="4" customFormat="1" ht="12.75" customHeight="1" x14ac:dyDescent="0.25"/>
    <row r="931" s="4" customFormat="1" ht="12.75" customHeight="1" x14ac:dyDescent="0.25"/>
    <row r="932" s="4" customFormat="1" ht="12.75" customHeight="1" x14ac:dyDescent="0.25"/>
    <row r="933" s="4" customFormat="1" ht="12.75" customHeight="1" x14ac:dyDescent="0.25"/>
    <row r="934" s="4" customFormat="1" ht="12.75" customHeight="1" x14ac:dyDescent="0.25"/>
    <row r="935" s="4" customFormat="1" ht="12.75" customHeight="1" x14ac:dyDescent="0.25"/>
    <row r="936" s="4" customFormat="1" ht="12.75" customHeight="1" x14ac:dyDescent="0.25"/>
    <row r="937" s="4" customFormat="1" ht="12.75" customHeight="1" x14ac:dyDescent="0.25"/>
    <row r="938" s="4" customFormat="1" ht="12.75" customHeight="1" x14ac:dyDescent="0.25"/>
    <row r="939" s="4" customFormat="1" ht="12.75" customHeight="1" x14ac:dyDescent="0.25"/>
    <row r="940" s="4" customFormat="1" ht="12.75" customHeight="1" x14ac:dyDescent="0.25"/>
    <row r="941" s="4" customFormat="1" ht="12.75" customHeight="1" x14ac:dyDescent="0.25"/>
    <row r="942" s="4" customFormat="1" ht="12.75" customHeight="1" x14ac:dyDescent="0.25"/>
    <row r="943" s="4" customFormat="1" ht="12.75" customHeight="1" x14ac:dyDescent="0.25"/>
    <row r="944" s="4" customFormat="1" ht="12.75" customHeight="1" x14ac:dyDescent="0.25"/>
    <row r="945" s="4" customFormat="1" ht="12.75" customHeight="1" x14ac:dyDescent="0.25"/>
    <row r="946" s="4" customFormat="1" ht="12.75" customHeight="1" x14ac:dyDescent="0.25"/>
    <row r="947" s="4" customFormat="1" ht="12.75" customHeight="1" x14ac:dyDescent="0.25"/>
    <row r="948" s="4" customFormat="1" ht="12.75" customHeight="1" x14ac:dyDescent="0.25"/>
    <row r="949" s="4" customFormat="1" ht="12.75" customHeight="1" x14ac:dyDescent="0.25"/>
    <row r="950" s="4" customFormat="1" ht="12.75" customHeight="1" x14ac:dyDescent="0.25"/>
    <row r="951" s="4" customFormat="1" ht="12.75" customHeight="1" x14ac:dyDescent="0.25"/>
    <row r="952" s="4" customFormat="1" ht="12.75" customHeight="1" x14ac:dyDescent="0.25"/>
    <row r="953" s="4" customFormat="1" ht="12.75" customHeight="1" x14ac:dyDescent="0.25"/>
    <row r="954" s="4" customFormat="1" ht="12.75" customHeight="1" x14ac:dyDescent="0.25"/>
    <row r="955" s="4" customFormat="1" ht="12.75" customHeight="1" x14ac:dyDescent="0.25"/>
    <row r="956" s="4" customFormat="1" ht="12.75" customHeight="1" x14ac:dyDescent="0.25"/>
    <row r="957" s="4" customFormat="1" ht="12.75" customHeight="1" x14ac:dyDescent="0.25"/>
    <row r="958" s="4" customFormat="1" ht="12.75" customHeight="1" x14ac:dyDescent="0.25"/>
    <row r="959" s="4" customFormat="1" ht="12.75" customHeight="1" x14ac:dyDescent="0.25"/>
    <row r="960" s="4" customFormat="1" ht="12.75" customHeight="1" x14ac:dyDescent="0.25"/>
    <row r="961" s="4" customFormat="1" ht="12.75" customHeight="1" x14ac:dyDescent="0.25"/>
    <row r="962" s="4" customFormat="1" ht="12.75" customHeight="1" x14ac:dyDescent="0.25"/>
    <row r="963" s="4" customFormat="1" ht="12.75" customHeight="1" x14ac:dyDescent="0.25"/>
    <row r="964" s="4" customFormat="1" ht="12.75" customHeight="1" x14ac:dyDescent="0.25"/>
    <row r="965" s="4" customFormat="1" ht="12.75" customHeight="1" x14ac:dyDescent="0.25"/>
    <row r="966" s="4" customFormat="1" ht="12.75" customHeight="1" x14ac:dyDescent="0.25"/>
    <row r="967" s="4" customFormat="1" ht="12.75" customHeight="1" x14ac:dyDescent="0.25"/>
    <row r="968" s="4" customFormat="1" ht="12.75" customHeight="1" x14ac:dyDescent="0.25"/>
    <row r="969" s="4" customFormat="1" ht="12.75" customHeight="1" x14ac:dyDescent="0.25"/>
    <row r="970" s="4" customFormat="1" ht="12.75" customHeight="1" x14ac:dyDescent="0.25"/>
    <row r="971" s="4" customFormat="1" ht="12.75" customHeight="1" x14ac:dyDescent="0.25"/>
    <row r="972" s="4" customFormat="1" ht="12.75" customHeight="1" x14ac:dyDescent="0.25"/>
    <row r="973" s="4" customFormat="1" ht="12.75" customHeight="1" x14ac:dyDescent="0.25"/>
    <row r="974" s="4" customFormat="1" ht="12.75" customHeight="1" x14ac:dyDescent="0.25"/>
    <row r="975" s="4" customFormat="1" ht="12.75" customHeight="1" x14ac:dyDescent="0.25"/>
    <row r="976" s="4" customFormat="1" ht="12.75" customHeight="1" x14ac:dyDescent="0.25"/>
    <row r="977" s="4" customFormat="1" ht="12.75" customHeight="1" x14ac:dyDescent="0.25"/>
    <row r="978" s="4" customFormat="1" ht="12.75" customHeight="1" x14ac:dyDescent="0.25"/>
    <row r="979" s="4" customFormat="1" ht="12.75" customHeight="1" x14ac:dyDescent="0.25"/>
    <row r="980" s="4" customFormat="1" ht="12.75" customHeight="1" x14ac:dyDescent="0.25"/>
    <row r="981" s="4" customFormat="1" ht="12.75" customHeight="1" x14ac:dyDescent="0.25"/>
    <row r="982" s="4" customFormat="1" ht="12.75" customHeight="1" x14ac:dyDescent="0.25"/>
    <row r="983" s="4" customFormat="1" ht="12.75" customHeight="1" x14ac:dyDescent="0.25"/>
    <row r="984" s="4" customFormat="1" ht="12.75" customHeight="1" x14ac:dyDescent="0.25"/>
    <row r="985" s="4" customFormat="1" ht="12.75" customHeight="1" x14ac:dyDescent="0.25"/>
    <row r="986" s="4" customFormat="1" ht="12.75" customHeight="1" x14ac:dyDescent="0.25"/>
    <row r="987" s="4" customFormat="1" ht="12.75" customHeight="1" x14ac:dyDescent="0.25"/>
    <row r="988" s="4" customFormat="1" ht="12.75" customHeight="1" x14ac:dyDescent="0.25"/>
    <row r="989" s="4" customFormat="1" ht="12.75" customHeight="1" x14ac:dyDescent="0.25"/>
    <row r="990" s="4" customFormat="1" ht="12.75" customHeight="1" x14ac:dyDescent="0.25"/>
    <row r="991" s="4" customFormat="1" ht="12.75" customHeight="1" x14ac:dyDescent="0.25"/>
    <row r="992" s="4" customFormat="1" ht="12.75" customHeight="1" x14ac:dyDescent="0.25"/>
    <row r="993" s="4" customFormat="1" ht="12.75" customHeight="1" x14ac:dyDescent="0.25"/>
    <row r="994" s="4" customFormat="1" ht="12.75" customHeight="1" x14ac:dyDescent="0.25"/>
    <row r="995" s="4" customFormat="1" ht="12.75" customHeight="1" x14ac:dyDescent="0.25"/>
    <row r="996" s="4" customFormat="1" ht="12.75" customHeight="1" x14ac:dyDescent="0.25"/>
    <row r="997" s="4" customFormat="1" ht="12.75" customHeight="1" x14ac:dyDescent="0.25"/>
    <row r="998" s="4" customFormat="1" ht="12.75" customHeight="1" x14ac:dyDescent="0.25"/>
    <row r="999" s="4" customFormat="1" ht="12.75" customHeight="1" x14ac:dyDescent="0.25"/>
    <row r="1000" s="4" customFormat="1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1000"/>
  <sheetViews>
    <sheetView workbookViewId="0">
      <selection activeCell="F9" sqref="F9"/>
    </sheetView>
  </sheetViews>
  <sheetFormatPr defaultColWidth="14.42578125" defaultRowHeight="15" customHeight="1" x14ac:dyDescent="0.25"/>
  <cols>
    <col min="1" max="6" width="25.5703125" style="4" customWidth="1"/>
    <col min="7" max="26" width="8.7109375" style="4" customWidth="1"/>
    <col min="27" max="16384" width="14.42578125" style="4"/>
  </cols>
  <sheetData>
    <row r="1" spans="1:6" ht="21" customHeight="1" x14ac:dyDescent="0.25">
      <c r="A1" s="6" t="s">
        <v>61</v>
      </c>
      <c r="B1" s="7"/>
      <c r="C1" s="7"/>
      <c r="D1" s="7"/>
      <c r="E1" s="7"/>
      <c r="F1" s="7"/>
    </row>
    <row r="2" spans="1:6" ht="22.5" customHeight="1" x14ac:dyDescent="0.25">
      <c r="A2" s="8" t="s">
        <v>62</v>
      </c>
      <c r="B2" s="8" t="s">
        <v>63</v>
      </c>
      <c r="C2" s="8" t="s">
        <v>64</v>
      </c>
      <c r="D2" s="8" t="s">
        <v>3</v>
      </c>
      <c r="E2" s="8" t="s">
        <v>65</v>
      </c>
      <c r="F2" s="8" t="s">
        <v>3</v>
      </c>
    </row>
    <row r="3" spans="1:6" ht="21.75" customHeight="1" x14ac:dyDescent="0.25">
      <c r="A3" s="41" t="s">
        <v>66</v>
      </c>
      <c r="B3" s="7"/>
      <c r="C3" s="42" t="s">
        <v>67</v>
      </c>
      <c r="D3" s="43" t="s">
        <v>68</v>
      </c>
      <c r="E3" s="42"/>
      <c r="F3" s="43" t="s">
        <v>68</v>
      </c>
    </row>
    <row r="4" spans="1:6" ht="12.75" customHeight="1" x14ac:dyDescent="0.25">
      <c r="A4" s="41"/>
      <c r="B4" s="42"/>
      <c r="C4" s="42"/>
      <c r="D4" s="43"/>
      <c r="E4" s="42"/>
      <c r="F4" s="43"/>
    </row>
    <row r="5" spans="1:6" ht="12.75" customHeight="1" x14ac:dyDescent="0.25">
      <c r="A5" s="41"/>
      <c r="B5" s="42"/>
      <c r="C5" s="42"/>
      <c r="D5" s="43"/>
      <c r="E5" s="42"/>
      <c r="F5" s="43"/>
    </row>
    <row r="6" spans="1:6" ht="12.75" customHeight="1" x14ac:dyDescent="0.25">
      <c r="A6" s="41"/>
      <c r="B6" s="42"/>
      <c r="C6" s="42"/>
      <c r="D6" s="43"/>
      <c r="E6" s="42"/>
      <c r="F6" s="43"/>
    </row>
    <row r="7" spans="1:6" ht="12.75" customHeight="1" x14ac:dyDescent="0.25"/>
    <row r="8" spans="1:6" ht="12.75" customHeight="1" x14ac:dyDescent="0.25"/>
    <row r="9" spans="1:6" ht="12.75" customHeight="1" x14ac:dyDescent="0.25"/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s="4" customFormat="1" ht="12.75" customHeight="1" x14ac:dyDescent="0.25"/>
    <row r="18" s="4" customFormat="1" ht="12.75" customHeight="1" x14ac:dyDescent="0.25"/>
    <row r="19" s="4" customFormat="1" ht="12.75" customHeight="1" x14ac:dyDescent="0.25"/>
    <row r="20" s="4" customFormat="1" ht="12.75" customHeight="1" x14ac:dyDescent="0.25"/>
    <row r="21" s="4" customFormat="1" ht="12.75" customHeight="1" x14ac:dyDescent="0.25"/>
    <row r="22" s="4" customFormat="1" ht="12.75" customHeight="1" x14ac:dyDescent="0.25"/>
    <row r="23" s="4" customFormat="1" ht="12.75" customHeight="1" x14ac:dyDescent="0.25"/>
    <row r="24" s="4" customFormat="1" ht="12.75" customHeight="1" x14ac:dyDescent="0.25"/>
    <row r="25" s="4" customFormat="1" ht="12.75" customHeight="1" x14ac:dyDescent="0.25"/>
    <row r="26" s="4" customFormat="1" ht="12.75" customHeight="1" x14ac:dyDescent="0.25"/>
    <row r="27" s="4" customFormat="1" ht="12.75" customHeight="1" x14ac:dyDescent="0.25"/>
    <row r="28" s="4" customFormat="1" ht="12.75" customHeight="1" x14ac:dyDescent="0.25"/>
    <row r="29" s="4" customFormat="1" ht="12.75" customHeight="1" x14ac:dyDescent="0.25"/>
    <row r="30" s="4" customFormat="1" ht="12.75" customHeight="1" x14ac:dyDescent="0.25"/>
    <row r="31" s="4" customFormat="1" ht="12.75" customHeight="1" x14ac:dyDescent="0.25"/>
    <row r="32" s="4" customFormat="1" ht="12.75" customHeight="1" x14ac:dyDescent="0.25"/>
    <row r="33" s="4" customFormat="1" ht="12.75" customHeight="1" x14ac:dyDescent="0.25"/>
    <row r="34" s="4" customFormat="1" ht="12.75" customHeight="1" x14ac:dyDescent="0.25"/>
    <row r="35" s="4" customFormat="1" ht="12.75" customHeight="1" x14ac:dyDescent="0.25"/>
    <row r="36" s="4" customFormat="1" ht="12.75" customHeight="1" x14ac:dyDescent="0.25"/>
    <row r="37" s="4" customFormat="1" ht="12.75" customHeight="1" x14ac:dyDescent="0.25"/>
    <row r="38" s="4" customFormat="1" ht="12.75" customHeight="1" x14ac:dyDescent="0.25"/>
    <row r="39" s="4" customFormat="1" ht="12.75" customHeight="1" x14ac:dyDescent="0.25"/>
    <row r="40" s="4" customFormat="1" ht="12.75" customHeight="1" x14ac:dyDescent="0.25"/>
    <row r="41" s="4" customFormat="1" ht="12.75" customHeight="1" x14ac:dyDescent="0.25"/>
    <row r="42" s="4" customFormat="1" ht="12.75" customHeight="1" x14ac:dyDescent="0.25"/>
    <row r="43" s="4" customFormat="1" ht="12.75" customHeight="1" x14ac:dyDescent="0.25"/>
    <row r="44" s="4" customFormat="1" ht="12.75" customHeight="1" x14ac:dyDescent="0.25"/>
    <row r="45" s="4" customFormat="1" ht="12.75" customHeight="1" x14ac:dyDescent="0.25"/>
    <row r="46" s="4" customFormat="1" ht="12.75" customHeight="1" x14ac:dyDescent="0.25"/>
    <row r="47" s="4" customFormat="1" ht="12.75" customHeight="1" x14ac:dyDescent="0.25"/>
    <row r="48" s="4" customFormat="1" ht="12.75" customHeight="1" x14ac:dyDescent="0.25"/>
    <row r="49" s="4" customFormat="1" ht="12.75" customHeight="1" x14ac:dyDescent="0.25"/>
    <row r="50" s="4" customFormat="1" ht="12.75" customHeight="1" x14ac:dyDescent="0.25"/>
    <row r="51" s="4" customFormat="1" ht="12.75" customHeight="1" x14ac:dyDescent="0.25"/>
    <row r="52" s="4" customFormat="1" ht="12.75" customHeight="1" x14ac:dyDescent="0.25"/>
    <row r="53" s="4" customFormat="1" ht="12.75" customHeight="1" x14ac:dyDescent="0.25"/>
    <row r="54" s="4" customFormat="1" ht="12.75" customHeight="1" x14ac:dyDescent="0.25"/>
    <row r="55" s="4" customFormat="1" ht="12.75" customHeight="1" x14ac:dyDescent="0.25"/>
    <row r="56" s="4" customFormat="1" ht="12.75" customHeight="1" x14ac:dyDescent="0.25"/>
    <row r="57" s="4" customFormat="1" ht="12.75" customHeight="1" x14ac:dyDescent="0.25"/>
    <row r="58" s="4" customFormat="1" ht="12.75" customHeight="1" x14ac:dyDescent="0.25"/>
    <row r="59" s="4" customFormat="1" ht="12.75" customHeight="1" x14ac:dyDescent="0.25"/>
    <row r="60" s="4" customFormat="1" ht="12.75" customHeight="1" x14ac:dyDescent="0.25"/>
    <row r="61" s="4" customFormat="1" ht="12.75" customHeight="1" x14ac:dyDescent="0.25"/>
    <row r="62" s="4" customFormat="1" ht="12.75" customHeight="1" x14ac:dyDescent="0.25"/>
    <row r="63" s="4" customFormat="1" ht="12.75" customHeight="1" x14ac:dyDescent="0.25"/>
    <row r="64" s="4" customFormat="1" ht="12.75" customHeight="1" x14ac:dyDescent="0.25"/>
    <row r="65" s="4" customFormat="1" ht="12.75" customHeight="1" x14ac:dyDescent="0.25"/>
    <row r="66" s="4" customFormat="1" ht="12.75" customHeight="1" x14ac:dyDescent="0.25"/>
    <row r="67" s="4" customFormat="1" ht="12.75" customHeight="1" x14ac:dyDescent="0.25"/>
    <row r="68" s="4" customFormat="1" ht="12.75" customHeight="1" x14ac:dyDescent="0.25"/>
    <row r="69" s="4" customFormat="1" ht="12.75" customHeight="1" x14ac:dyDescent="0.25"/>
    <row r="70" s="4" customFormat="1" ht="12.75" customHeight="1" x14ac:dyDescent="0.25"/>
    <row r="71" s="4" customFormat="1" ht="12.75" customHeight="1" x14ac:dyDescent="0.25"/>
    <row r="72" s="4" customFormat="1" ht="12.75" customHeight="1" x14ac:dyDescent="0.25"/>
    <row r="73" s="4" customFormat="1" ht="12.75" customHeight="1" x14ac:dyDescent="0.25"/>
    <row r="74" s="4" customFormat="1" ht="12.75" customHeight="1" x14ac:dyDescent="0.25"/>
    <row r="75" s="4" customFormat="1" ht="12.75" customHeight="1" x14ac:dyDescent="0.25"/>
    <row r="76" s="4" customFormat="1" ht="12.75" customHeight="1" x14ac:dyDescent="0.25"/>
    <row r="77" s="4" customFormat="1" ht="12.75" customHeight="1" x14ac:dyDescent="0.25"/>
    <row r="78" s="4" customFormat="1" ht="12.75" customHeight="1" x14ac:dyDescent="0.25"/>
    <row r="79" s="4" customFormat="1" ht="12.75" customHeight="1" x14ac:dyDescent="0.25"/>
    <row r="80" s="4" customFormat="1" ht="12.75" customHeight="1" x14ac:dyDescent="0.25"/>
    <row r="81" s="4" customFormat="1" ht="12.75" customHeight="1" x14ac:dyDescent="0.25"/>
    <row r="82" s="4" customFormat="1" ht="12.75" customHeight="1" x14ac:dyDescent="0.25"/>
    <row r="83" s="4" customFormat="1" ht="12.75" customHeight="1" x14ac:dyDescent="0.25"/>
    <row r="84" s="4" customFormat="1" ht="12.75" customHeight="1" x14ac:dyDescent="0.25"/>
    <row r="85" s="4" customFormat="1" ht="12.75" customHeight="1" x14ac:dyDescent="0.25"/>
    <row r="86" s="4" customFormat="1" ht="12.75" customHeight="1" x14ac:dyDescent="0.25"/>
    <row r="87" s="4" customFormat="1" ht="12.75" customHeight="1" x14ac:dyDescent="0.25"/>
    <row r="88" s="4" customFormat="1" ht="12.75" customHeight="1" x14ac:dyDescent="0.25"/>
    <row r="89" s="4" customFormat="1" ht="12.75" customHeight="1" x14ac:dyDescent="0.25"/>
    <row r="90" s="4" customFormat="1" ht="12.75" customHeight="1" x14ac:dyDescent="0.25"/>
    <row r="91" s="4" customFormat="1" ht="12.75" customHeight="1" x14ac:dyDescent="0.25"/>
    <row r="92" s="4" customFormat="1" ht="12.75" customHeight="1" x14ac:dyDescent="0.25"/>
    <row r="93" s="4" customFormat="1" ht="12.75" customHeight="1" x14ac:dyDescent="0.25"/>
    <row r="94" s="4" customFormat="1" ht="12.75" customHeight="1" x14ac:dyDescent="0.25"/>
    <row r="95" s="4" customFormat="1" ht="12.75" customHeight="1" x14ac:dyDescent="0.25"/>
    <row r="96" s="4" customFormat="1" ht="12.75" customHeight="1" x14ac:dyDescent="0.25"/>
    <row r="97" s="4" customFormat="1" ht="12.75" customHeight="1" x14ac:dyDescent="0.25"/>
    <row r="98" s="4" customFormat="1" ht="12.75" customHeight="1" x14ac:dyDescent="0.25"/>
    <row r="99" s="4" customFormat="1" ht="12.75" customHeight="1" x14ac:dyDescent="0.25"/>
    <row r="100" s="4" customFormat="1" ht="12.75" customHeight="1" x14ac:dyDescent="0.25"/>
    <row r="101" s="4" customFormat="1" ht="12.75" customHeight="1" x14ac:dyDescent="0.25"/>
    <row r="102" s="4" customFormat="1" ht="12.75" customHeight="1" x14ac:dyDescent="0.25"/>
    <row r="103" s="4" customFormat="1" ht="12.75" customHeight="1" x14ac:dyDescent="0.25"/>
    <row r="104" s="4" customFormat="1" ht="12.75" customHeight="1" x14ac:dyDescent="0.25"/>
    <row r="105" s="4" customFormat="1" ht="12.75" customHeight="1" x14ac:dyDescent="0.25"/>
    <row r="106" s="4" customFormat="1" ht="12.75" customHeight="1" x14ac:dyDescent="0.25"/>
    <row r="107" s="4" customFormat="1" ht="12.75" customHeight="1" x14ac:dyDescent="0.25"/>
    <row r="108" s="4" customFormat="1" ht="12.75" customHeight="1" x14ac:dyDescent="0.25"/>
    <row r="109" s="4" customFormat="1" ht="12.75" customHeight="1" x14ac:dyDescent="0.25"/>
    <row r="110" s="4" customFormat="1" ht="12.75" customHeight="1" x14ac:dyDescent="0.25"/>
    <row r="111" s="4" customFormat="1" ht="12.75" customHeight="1" x14ac:dyDescent="0.25"/>
    <row r="112" s="4" customFormat="1" ht="12.75" customHeight="1" x14ac:dyDescent="0.25"/>
    <row r="113" s="4" customFormat="1" ht="12.75" customHeight="1" x14ac:dyDescent="0.25"/>
    <row r="114" s="4" customFormat="1" ht="12.75" customHeight="1" x14ac:dyDescent="0.25"/>
    <row r="115" s="4" customFormat="1" ht="12.75" customHeight="1" x14ac:dyDescent="0.25"/>
    <row r="116" s="4" customFormat="1" ht="12.75" customHeight="1" x14ac:dyDescent="0.25"/>
    <row r="117" s="4" customFormat="1" ht="12.75" customHeight="1" x14ac:dyDescent="0.25"/>
    <row r="118" s="4" customFormat="1" ht="12.75" customHeight="1" x14ac:dyDescent="0.25"/>
    <row r="119" s="4" customFormat="1" ht="12.75" customHeight="1" x14ac:dyDescent="0.25"/>
    <row r="120" s="4" customFormat="1" ht="12.75" customHeight="1" x14ac:dyDescent="0.25"/>
    <row r="121" s="4" customFormat="1" ht="12.75" customHeight="1" x14ac:dyDescent="0.25"/>
    <row r="122" s="4" customFormat="1" ht="12.75" customHeight="1" x14ac:dyDescent="0.25"/>
    <row r="123" s="4" customFormat="1" ht="12.75" customHeight="1" x14ac:dyDescent="0.25"/>
    <row r="124" s="4" customFormat="1" ht="12.75" customHeight="1" x14ac:dyDescent="0.25"/>
    <row r="125" s="4" customFormat="1" ht="12.75" customHeight="1" x14ac:dyDescent="0.25"/>
    <row r="126" s="4" customFormat="1" ht="12.75" customHeight="1" x14ac:dyDescent="0.25"/>
    <row r="127" s="4" customFormat="1" ht="12.75" customHeight="1" x14ac:dyDescent="0.25"/>
    <row r="128" s="4" customFormat="1" ht="12.75" customHeight="1" x14ac:dyDescent="0.25"/>
    <row r="129" s="4" customFormat="1" ht="12.75" customHeight="1" x14ac:dyDescent="0.25"/>
    <row r="130" s="4" customFormat="1" ht="12.75" customHeight="1" x14ac:dyDescent="0.25"/>
    <row r="131" s="4" customFormat="1" ht="12.75" customHeight="1" x14ac:dyDescent="0.25"/>
    <row r="132" s="4" customFormat="1" ht="12.75" customHeight="1" x14ac:dyDescent="0.25"/>
    <row r="133" s="4" customFormat="1" ht="12.75" customHeight="1" x14ac:dyDescent="0.25"/>
    <row r="134" s="4" customFormat="1" ht="12.75" customHeight="1" x14ac:dyDescent="0.25"/>
    <row r="135" s="4" customFormat="1" ht="12.75" customHeight="1" x14ac:dyDescent="0.25"/>
    <row r="136" s="4" customFormat="1" ht="12.75" customHeight="1" x14ac:dyDescent="0.25"/>
    <row r="137" s="4" customFormat="1" ht="12.75" customHeight="1" x14ac:dyDescent="0.25"/>
    <row r="138" s="4" customFormat="1" ht="12.75" customHeight="1" x14ac:dyDescent="0.25"/>
    <row r="139" s="4" customFormat="1" ht="12.75" customHeight="1" x14ac:dyDescent="0.25"/>
    <row r="140" s="4" customFormat="1" ht="12.75" customHeight="1" x14ac:dyDescent="0.25"/>
    <row r="141" s="4" customFormat="1" ht="12.75" customHeight="1" x14ac:dyDescent="0.25"/>
    <row r="142" s="4" customFormat="1" ht="12.75" customHeight="1" x14ac:dyDescent="0.25"/>
    <row r="143" s="4" customFormat="1" ht="12.75" customHeight="1" x14ac:dyDescent="0.25"/>
    <row r="144" s="4" customFormat="1" ht="12.75" customHeight="1" x14ac:dyDescent="0.25"/>
    <row r="145" s="4" customFormat="1" ht="12.75" customHeight="1" x14ac:dyDescent="0.25"/>
    <row r="146" s="4" customFormat="1" ht="12.75" customHeight="1" x14ac:dyDescent="0.25"/>
    <row r="147" s="4" customFormat="1" ht="12.75" customHeight="1" x14ac:dyDescent="0.25"/>
    <row r="148" s="4" customFormat="1" ht="12.75" customHeight="1" x14ac:dyDescent="0.25"/>
    <row r="149" s="4" customFormat="1" ht="12.75" customHeight="1" x14ac:dyDescent="0.25"/>
    <row r="150" s="4" customFormat="1" ht="12.75" customHeight="1" x14ac:dyDescent="0.25"/>
    <row r="151" s="4" customFormat="1" ht="12.75" customHeight="1" x14ac:dyDescent="0.25"/>
    <row r="152" s="4" customFormat="1" ht="12.75" customHeight="1" x14ac:dyDescent="0.25"/>
    <row r="153" s="4" customFormat="1" ht="12.75" customHeight="1" x14ac:dyDescent="0.25"/>
    <row r="154" s="4" customFormat="1" ht="12.75" customHeight="1" x14ac:dyDescent="0.25"/>
    <row r="155" s="4" customFormat="1" ht="12.75" customHeight="1" x14ac:dyDescent="0.25"/>
    <row r="156" s="4" customFormat="1" ht="12.75" customHeight="1" x14ac:dyDescent="0.25"/>
    <row r="157" s="4" customFormat="1" ht="12.75" customHeight="1" x14ac:dyDescent="0.25"/>
    <row r="158" s="4" customFormat="1" ht="12.75" customHeight="1" x14ac:dyDescent="0.25"/>
    <row r="159" s="4" customFormat="1" ht="12.75" customHeight="1" x14ac:dyDescent="0.25"/>
    <row r="160" s="4" customFormat="1" ht="12.75" customHeight="1" x14ac:dyDescent="0.25"/>
    <row r="161" s="4" customFormat="1" ht="12.75" customHeight="1" x14ac:dyDescent="0.25"/>
    <row r="162" s="4" customFormat="1" ht="12.75" customHeight="1" x14ac:dyDescent="0.25"/>
    <row r="163" s="4" customFormat="1" ht="12.75" customHeight="1" x14ac:dyDescent="0.25"/>
    <row r="164" s="4" customFormat="1" ht="12.75" customHeight="1" x14ac:dyDescent="0.25"/>
    <row r="165" s="4" customFormat="1" ht="12.75" customHeight="1" x14ac:dyDescent="0.25"/>
    <row r="166" s="4" customFormat="1" ht="12.75" customHeight="1" x14ac:dyDescent="0.25"/>
    <row r="167" s="4" customFormat="1" ht="12.75" customHeight="1" x14ac:dyDescent="0.25"/>
    <row r="168" s="4" customFormat="1" ht="12.75" customHeight="1" x14ac:dyDescent="0.25"/>
    <row r="169" s="4" customFormat="1" ht="12.75" customHeight="1" x14ac:dyDescent="0.25"/>
    <row r="170" s="4" customFormat="1" ht="12.75" customHeight="1" x14ac:dyDescent="0.25"/>
    <row r="171" s="4" customFormat="1" ht="12.75" customHeight="1" x14ac:dyDescent="0.25"/>
    <row r="172" s="4" customFormat="1" ht="12.75" customHeight="1" x14ac:dyDescent="0.25"/>
    <row r="173" s="4" customFormat="1" ht="12.75" customHeight="1" x14ac:dyDescent="0.25"/>
    <row r="174" s="4" customFormat="1" ht="12.75" customHeight="1" x14ac:dyDescent="0.25"/>
    <row r="175" s="4" customFormat="1" ht="12.75" customHeight="1" x14ac:dyDescent="0.25"/>
    <row r="176" s="4" customFormat="1" ht="12.75" customHeight="1" x14ac:dyDescent="0.25"/>
    <row r="177" s="4" customFormat="1" ht="12.75" customHeight="1" x14ac:dyDescent="0.25"/>
    <row r="178" s="4" customFormat="1" ht="12.75" customHeight="1" x14ac:dyDescent="0.25"/>
    <row r="179" s="4" customFormat="1" ht="12.75" customHeight="1" x14ac:dyDescent="0.25"/>
    <row r="180" s="4" customFormat="1" ht="12.75" customHeight="1" x14ac:dyDescent="0.25"/>
    <row r="181" s="4" customFormat="1" ht="12.75" customHeight="1" x14ac:dyDescent="0.25"/>
    <row r="182" s="4" customFormat="1" ht="12.75" customHeight="1" x14ac:dyDescent="0.25"/>
    <row r="183" s="4" customFormat="1" ht="12.75" customHeight="1" x14ac:dyDescent="0.25"/>
    <row r="184" s="4" customFormat="1" ht="12.75" customHeight="1" x14ac:dyDescent="0.25"/>
    <row r="185" s="4" customFormat="1" ht="12.75" customHeight="1" x14ac:dyDescent="0.25"/>
    <row r="186" s="4" customFormat="1" ht="12.75" customHeight="1" x14ac:dyDescent="0.25"/>
    <row r="187" s="4" customFormat="1" ht="12.75" customHeight="1" x14ac:dyDescent="0.25"/>
    <row r="188" s="4" customFormat="1" ht="12.75" customHeight="1" x14ac:dyDescent="0.25"/>
    <row r="189" s="4" customFormat="1" ht="12.75" customHeight="1" x14ac:dyDescent="0.25"/>
    <row r="190" s="4" customFormat="1" ht="12.75" customHeight="1" x14ac:dyDescent="0.25"/>
    <row r="191" s="4" customFormat="1" ht="12.75" customHeight="1" x14ac:dyDescent="0.25"/>
    <row r="192" s="4" customFormat="1" ht="12.75" customHeight="1" x14ac:dyDescent="0.25"/>
    <row r="193" s="4" customFormat="1" ht="12.75" customHeight="1" x14ac:dyDescent="0.25"/>
    <row r="194" s="4" customFormat="1" ht="12.75" customHeight="1" x14ac:dyDescent="0.25"/>
    <row r="195" s="4" customFormat="1" ht="12.75" customHeight="1" x14ac:dyDescent="0.25"/>
    <row r="196" s="4" customFormat="1" ht="12.75" customHeight="1" x14ac:dyDescent="0.25"/>
    <row r="197" s="4" customFormat="1" ht="12.75" customHeight="1" x14ac:dyDescent="0.25"/>
    <row r="198" s="4" customFormat="1" ht="12.75" customHeight="1" x14ac:dyDescent="0.25"/>
    <row r="199" s="4" customFormat="1" ht="12.75" customHeight="1" x14ac:dyDescent="0.25"/>
    <row r="200" s="4" customFormat="1" ht="12.75" customHeight="1" x14ac:dyDescent="0.25"/>
    <row r="201" s="4" customFormat="1" ht="12.75" customHeight="1" x14ac:dyDescent="0.25"/>
    <row r="202" s="4" customFormat="1" ht="12.75" customHeight="1" x14ac:dyDescent="0.25"/>
    <row r="203" s="4" customFormat="1" ht="12.75" customHeight="1" x14ac:dyDescent="0.25"/>
    <row r="204" s="4" customFormat="1" ht="12.75" customHeight="1" x14ac:dyDescent="0.25"/>
    <row r="205" s="4" customFormat="1" ht="12.75" customHeight="1" x14ac:dyDescent="0.25"/>
    <row r="206" s="4" customFormat="1" ht="12.75" customHeight="1" x14ac:dyDescent="0.25"/>
    <row r="207" s="4" customFormat="1" ht="12.75" customHeight="1" x14ac:dyDescent="0.25"/>
    <row r="208" s="4" customFormat="1" ht="12.75" customHeight="1" x14ac:dyDescent="0.25"/>
    <row r="209" s="4" customFormat="1" ht="12.75" customHeight="1" x14ac:dyDescent="0.25"/>
    <row r="210" s="4" customFormat="1" ht="12.75" customHeight="1" x14ac:dyDescent="0.25"/>
    <row r="211" s="4" customFormat="1" ht="12.75" customHeight="1" x14ac:dyDescent="0.25"/>
    <row r="212" s="4" customFormat="1" ht="12.75" customHeight="1" x14ac:dyDescent="0.25"/>
    <row r="213" s="4" customFormat="1" ht="12.75" customHeight="1" x14ac:dyDescent="0.25"/>
    <row r="214" s="4" customFormat="1" ht="12.75" customHeight="1" x14ac:dyDescent="0.25"/>
    <row r="215" s="4" customFormat="1" ht="12.75" customHeight="1" x14ac:dyDescent="0.25"/>
    <row r="216" s="4" customFormat="1" ht="12.75" customHeight="1" x14ac:dyDescent="0.25"/>
    <row r="217" s="4" customFormat="1" ht="12.75" customHeight="1" x14ac:dyDescent="0.25"/>
    <row r="218" s="4" customFormat="1" ht="12.75" customHeight="1" x14ac:dyDescent="0.25"/>
    <row r="219" s="4" customFormat="1" ht="12.75" customHeight="1" x14ac:dyDescent="0.25"/>
    <row r="220" s="4" customFormat="1" ht="12.75" customHeight="1" x14ac:dyDescent="0.25"/>
    <row r="221" s="4" customFormat="1" ht="12.75" customHeight="1" x14ac:dyDescent="0.25"/>
    <row r="222" s="4" customFormat="1" ht="12.75" customHeight="1" x14ac:dyDescent="0.25"/>
    <row r="223" s="4" customFormat="1" ht="12.75" customHeight="1" x14ac:dyDescent="0.25"/>
    <row r="224" s="4" customFormat="1" ht="12.75" customHeight="1" x14ac:dyDescent="0.25"/>
    <row r="225" s="4" customFormat="1" ht="12.75" customHeight="1" x14ac:dyDescent="0.25"/>
    <row r="226" s="4" customFormat="1" ht="12.75" customHeight="1" x14ac:dyDescent="0.25"/>
    <row r="227" s="4" customFormat="1" ht="12.75" customHeight="1" x14ac:dyDescent="0.25"/>
    <row r="228" s="4" customFormat="1" ht="12.75" customHeight="1" x14ac:dyDescent="0.25"/>
    <row r="229" s="4" customFormat="1" ht="12.75" customHeight="1" x14ac:dyDescent="0.25"/>
    <row r="230" s="4" customFormat="1" ht="12.75" customHeight="1" x14ac:dyDescent="0.25"/>
    <row r="231" s="4" customFormat="1" ht="12.75" customHeight="1" x14ac:dyDescent="0.25"/>
    <row r="232" s="4" customFormat="1" ht="12.75" customHeight="1" x14ac:dyDescent="0.25"/>
    <row r="233" s="4" customFormat="1" ht="12.75" customHeight="1" x14ac:dyDescent="0.25"/>
    <row r="234" s="4" customFormat="1" ht="12.75" customHeight="1" x14ac:dyDescent="0.25"/>
    <row r="235" s="4" customFormat="1" ht="12.75" customHeight="1" x14ac:dyDescent="0.25"/>
    <row r="236" s="4" customFormat="1" ht="12.75" customHeight="1" x14ac:dyDescent="0.25"/>
    <row r="237" s="4" customFormat="1" ht="12.75" customHeight="1" x14ac:dyDescent="0.25"/>
    <row r="238" s="4" customFormat="1" ht="12.75" customHeight="1" x14ac:dyDescent="0.25"/>
    <row r="239" s="4" customFormat="1" ht="12.75" customHeight="1" x14ac:dyDescent="0.25"/>
    <row r="240" s="4" customFormat="1" ht="12.75" customHeight="1" x14ac:dyDescent="0.25"/>
    <row r="241" s="4" customFormat="1" ht="12.75" customHeight="1" x14ac:dyDescent="0.25"/>
    <row r="242" s="4" customFormat="1" ht="12.75" customHeight="1" x14ac:dyDescent="0.25"/>
    <row r="243" s="4" customFormat="1" ht="12.75" customHeight="1" x14ac:dyDescent="0.25"/>
    <row r="244" s="4" customFormat="1" ht="12.75" customHeight="1" x14ac:dyDescent="0.25"/>
    <row r="245" s="4" customFormat="1" ht="12.75" customHeight="1" x14ac:dyDescent="0.25"/>
    <row r="246" s="4" customFormat="1" ht="12.75" customHeight="1" x14ac:dyDescent="0.25"/>
    <row r="247" s="4" customFormat="1" ht="12.75" customHeight="1" x14ac:dyDescent="0.25"/>
    <row r="248" s="4" customFormat="1" ht="12.75" customHeight="1" x14ac:dyDescent="0.25"/>
    <row r="249" s="4" customFormat="1" ht="12.75" customHeight="1" x14ac:dyDescent="0.25"/>
    <row r="250" s="4" customFormat="1" ht="12.75" customHeight="1" x14ac:dyDescent="0.25"/>
    <row r="251" s="4" customFormat="1" ht="12.75" customHeight="1" x14ac:dyDescent="0.25"/>
    <row r="252" s="4" customFormat="1" ht="12.75" customHeight="1" x14ac:dyDescent="0.25"/>
    <row r="253" s="4" customFormat="1" ht="12.75" customHeight="1" x14ac:dyDescent="0.25"/>
    <row r="254" s="4" customFormat="1" ht="12.75" customHeight="1" x14ac:dyDescent="0.25"/>
    <row r="255" s="4" customFormat="1" ht="12.75" customHeight="1" x14ac:dyDescent="0.25"/>
    <row r="256" s="4" customFormat="1" ht="12.75" customHeight="1" x14ac:dyDescent="0.25"/>
    <row r="257" s="4" customFormat="1" ht="12.75" customHeight="1" x14ac:dyDescent="0.25"/>
    <row r="258" s="4" customFormat="1" ht="12.75" customHeight="1" x14ac:dyDescent="0.25"/>
    <row r="259" s="4" customFormat="1" ht="12.75" customHeight="1" x14ac:dyDescent="0.25"/>
    <row r="260" s="4" customFormat="1" ht="12.75" customHeight="1" x14ac:dyDescent="0.25"/>
    <row r="261" s="4" customFormat="1" ht="12.75" customHeight="1" x14ac:dyDescent="0.25"/>
    <row r="262" s="4" customFormat="1" ht="12.75" customHeight="1" x14ac:dyDescent="0.25"/>
    <row r="263" s="4" customFormat="1" ht="12.75" customHeight="1" x14ac:dyDescent="0.25"/>
    <row r="264" s="4" customFormat="1" ht="12.75" customHeight="1" x14ac:dyDescent="0.25"/>
    <row r="265" s="4" customFormat="1" ht="12.75" customHeight="1" x14ac:dyDescent="0.25"/>
    <row r="266" s="4" customFormat="1" ht="12.75" customHeight="1" x14ac:dyDescent="0.25"/>
    <row r="267" s="4" customFormat="1" ht="12.75" customHeight="1" x14ac:dyDescent="0.25"/>
    <row r="268" s="4" customFormat="1" ht="12.75" customHeight="1" x14ac:dyDescent="0.25"/>
    <row r="269" s="4" customFormat="1" ht="12.75" customHeight="1" x14ac:dyDescent="0.25"/>
    <row r="270" s="4" customFormat="1" ht="12.75" customHeight="1" x14ac:dyDescent="0.25"/>
    <row r="271" s="4" customFormat="1" ht="12.75" customHeight="1" x14ac:dyDescent="0.25"/>
    <row r="272" s="4" customFormat="1" ht="12.75" customHeight="1" x14ac:dyDescent="0.25"/>
    <row r="273" s="4" customFormat="1" ht="12.75" customHeight="1" x14ac:dyDescent="0.25"/>
    <row r="274" s="4" customFormat="1" ht="12.75" customHeight="1" x14ac:dyDescent="0.25"/>
    <row r="275" s="4" customFormat="1" ht="12.75" customHeight="1" x14ac:dyDescent="0.25"/>
    <row r="276" s="4" customFormat="1" ht="12.75" customHeight="1" x14ac:dyDescent="0.25"/>
    <row r="277" s="4" customFormat="1" ht="12.75" customHeight="1" x14ac:dyDescent="0.25"/>
    <row r="278" s="4" customFormat="1" ht="12.75" customHeight="1" x14ac:dyDescent="0.25"/>
    <row r="279" s="4" customFormat="1" ht="12.75" customHeight="1" x14ac:dyDescent="0.25"/>
    <row r="280" s="4" customFormat="1" ht="12.75" customHeight="1" x14ac:dyDescent="0.25"/>
    <row r="281" s="4" customFormat="1" ht="12.75" customHeight="1" x14ac:dyDescent="0.25"/>
    <row r="282" s="4" customFormat="1" ht="12.75" customHeight="1" x14ac:dyDescent="0.25"/>
    <row r="283" s="4" customFormat="1" ht="12.75" customHeight="1" x14ac:dyDescent="0.25"/>
    <row r="284" s="4" customFormat="1" ht="12.75" customHeight="1" x14ac:dyDescent="0.25"/>
    <row r="285" s="4" customFormat="1" ht="12.75" customHeight="1" x14ac:dyDescent="0.25"/>
    <row r="286" s="4" customFormat="1" ht="12.75" customHeight="1" x14ac:dyDescent="0.25"/>
    <row r="287" s="4" customFormat="1" ht="12.75" customHeight="1" x14ac:dyDescent="0.25"/>
    <row r="288" s="4" customFormat="1" ht="12.75" customHeight="1" x14ac:dyDescent="0.25"/>
    <row r="289" s="4" customFormat="1" ht="12.75" customHeight="1" x14ac:dyDescent="0.25"/>
    <row r="290" s="4" customFormat="1" ht="12.75" customHeight="1" x14ac:dyDescent="0.25"/>
    <row r="291" s="4" customFormat="1" ht="12.75" customHeight="1" x14ac:dyDescent="0.25"/>
    <row r="292" s="4" customFormat="1" ht="12.75" customHeight="1" x14ac:dyDescent="0.25"/>
    <row r="293" s="4" customFormat="1" ht="12.75" customHeight="1" x14ac:dyDescent="0.25"/>
    <row r="294" s="4" customFormat="1" ht="12.75" customHeight="1" x14ac:dyDescent="0.25"/>
    <row r="295" s="4" customFormat="1" ht="12.75" customHeight="1" x14ac:dyDescent="0.25"/>
    <row r="296" s="4" customFormat="1" ht="12.75" customHeight="1" x14ac:dyDescent="0.25"/>
    <row r="297" s="4" customFormat="1" ht="12.75" customHeight="1" x14ac:dyDescent="0.25"/>
    <row r="298" s="4" customFormat="1" ht="12.75" customHeight="1" x14ac:dyDescent="0.25"/>
    <row r="299" s="4" customFormat="1" ht="12.75" customHeight="1" x14ac:dyDescent="0.25"/>
    <row r="300" s="4" customFormat="1" ht="12.75" customHeight="1" x14ac:dyDescent="0.25"/>
    <row r="301" s="4" customFormat="1" ht="12.75" customHeight="1" x14ac:dyDescent="0.25"/>
    <row r="302" s="4" customFormat="1" ht="12.75" customHeight="1" x14ac:dyDescent="0.25"/>
    <row r="303" s="4" customFormat="1" ht="12.75" customHeight="1" x14ac:dyDescent="0.25"/>
    <row r="304" s="4" customFormat="1" ht="12.75" customHeight="1" x14ac:dyDescent="0.25"/>
    <row r="305" s="4" customFormat="1" ht="12.75" customHeight="1" x14ac:dyDescent="0.25"/>
    <row r="306" s="4" customFormat="1" ht="12.75" customHeight="1" x14ac:dyDescent="0.25"/>
    <row r="307" s="4" customFormat="1" ht="12.75" customHeight="1" x14ac:dyDescent="0.25"/>
    <row r="308" s="4" customFormat="1" ht="12.75" customHeight="1" x14ac:dyDescent="0.25"/>
    <row r="309" s="4" customFormat="1" ht="12.75" customHeight="1" x14ac:dyDescent="0.25"/>
    <row r="310" s="4" customFormat="1" ht="12.75" customHeight="1" x14ac:dyDescent="0.25"/>
    <row r="311" s="4" customFormat="1" ht="12.75" customHeight="1" x14ac:dyDescent="0.25"/>
    <row r="312" s="4" customFormat="1" ht="12.75" customHeight="1" x14ac:dyDescent="0.25"/>
    <row r="313" s="4" customFormat="1" ht="12.75" customHeight="1" x14ac:dyDescent="0.25"/>
    <row r="314" s="4" customFormat="1" ht="12.75" customHeight="1" x14ac:dyDescent="0.25"/>
    <row r="315" s="4" customFormat="1" ht="12.75" customHeight="1" x14ac:dyDescent="0.25"/>
    <row r="316" s="4" customFormat="1" ht="12.75" customHeight="1" x14ac:dyDescent="0.25"/>
    <row r="317" s="4" customFormat="1" ht="12.75" customHeight="1" x14ac:dyDescent="0.25"/>
    <row r="318" s="4" customFormat="1" ht="12.75" customHeight="1" x14ac:dyDescent="0.25"/>
    <row r="319" s="4" customFormat="1" ht="12.75" customHeight="1" x14ac:dyDescent="0.25"/>
    <row r="320" s="4" customFormat="1" ht="12.75" customHeight="1" x14ac:dyDescent="0.25"/>
    <row r="321" s="4" customFormat="1" ht="12.75" customHeight="1" x14ac:dyDescent="0.25"/>
    <row r="322" s="4" customFormat="1" ht="12.75" customHeight="1" x14ac:dyDescent="0.25"/>
    <row r="323" s="4" customFormat="1" ht="12.75" customHeight="1" x14ac:dyDescent="0.25"/>
    <row r="324" s="4" customFormat="1" ht="12.75" customHeight="1" x14ac:dyDescent="0.25"/>
    <row r="325" s="4" customFormat="1" ht="12.75" customHeight="1" x14ac:dyDescent="0.25"/>
    <row r="326" s="4" customFormat="1" ht="12.75" customHeight="1" x14ac:dyDescent="0.25"/>
    <row r="327" s="4" customFormat="1" ht="12.75" customHeight="1" x14ac:dyDescent="0.25"/>
    <row r="328" s="4" customFormat="1" ht="12.75" customHeight="1" x14ac:dyDescent="0.25"/>
    <row r="329" s="4" customFormat="1" ht="12.75" customHeight="1" x14ac:dyDescent="0.25"/>
    <row r="330" s="4" customFormat="1" ht="12.75" customHeight="1" x14ac:dyDescent="0.25"/>
    <row r="331" s="4" customFormat="1" ht="12.75" customHeight="1" x14ac:dyDescent="0.25"/>
    <row r="332" s="4" customFormat="1" ht="12.75" customHeight="1" x14ac:dyDescent="0.25"/>
    <row r="333" s="4" customFormat="1" ht="12.75" customHeight="1" x14ac:dyDescent="0.25"/>
    <row r="334" s="4" customFormat="1" ht="12.75" customHeight="1" x14ac:dyDescent="0.25"/>
    <row r="335" s="4" customFormat="1" ht="12.75" customHeight="1" x14ac:dyDescent="0.25"/>
    <row r="336" s="4" customFormat="1" ht="12.75" customHeight="1" x14ac:dyDescent="0.25"/>
    <row r="337" s="4" customFormat="1" ht="12.75" customHeight="1" x14ac:dyDescent="0.25"/>
    <row r="338" s="4" customFormat="1" ht="12.75" customHeight="1" x14ac:dyDescent="0.25"/>
    <row r="339" s="4" customFormat="1" ht="12.75" customHeight="1" x14ac:dyDescent="0.25"/>
    <row r="340" s="4" customFormat="1" ht="12.75" customHeight="1" x14ac:dyDescent="0.25"/>
    <row r="341" s="4" customFormat="1" ht="12.75" customHeight="1" x14ac:dyDescent="0.25"/>
    <row r="342" s="4" customFormat="1" ht="12.75" customHeight="1" x14ac:dyDescent="0.25"/>
    <row r="343" s="4" customFormat="1" ht="12.75" customHeight="1" x14ac:dyDescent="0.25"/>
    <row r="344" s="4" customFormat="1" ht="12.75" customHeight="1" x14ac:dyDescent="0.25"/>
    <row r="345" s="4" customFormat="1" ht="12.75" customHeight="1" x14ac:dyDescent="0.25"/>
    <row r="346" s="4" customFormat="1" ht="12.75" customHeight="1" x14ac:dyDescent="0.25"/>
    <row r="347" s="4" customFormat="1" ht="12.75" customHeight="1" x14ac:dyDescent="0.25"/>
    <row r="348" s="4" customFormat="1" ht="12.75" customHeight="1" x14ac:dyDescent="0.25"/>
    <row r="349" s="4" customFormat="1" ht="12.75" customHeight="1" x14ac:dyDescent="0.25"/>
    <row r="350" s="4" customFormat="1" ht="12.75" customHeight="1" x14ac:dyDescent="0.25"/>
    <row r="351" s="4" customFormat="1" ht="12.75" customHeight="1" x14ac:dyDescent="0.25"/>
    <row r="352" s="4" customFormat="1" ht="12.75" customHeight="1" x14ac:dyDescent="0.25"/>
    <row r="353" s="4" customFormat="1" ht="12.75" customHeight="1" x14ac:dyDescent="0.25"/>
    <row r="354" s="4" customFormat="1" ht="12.75" customHeight="1" x14ac:dyDescent="0.25"/>
    <row r="355" s="4" customFormat="1" ht="12.75" customHeight="1" x14ac:dyDescent="0.25"/>
    <row r="356" s="4" customFormat="1" ht="12.75" customHeight="1" x14ac:dyDescent="0.25"/>
    <row r="357" s="4" customFormat="1" ht="12.75" customHeight="1" x14ac:dyDescent="0.25"/>
    <row r="358" s="4" customFormat="1" ht="12.75" customHeight="1" x14ac:dyDescent="0.25"/>
    <row r="359" s="4" customFormat="1" ht="12.75" customHeight="1" x14ac:dyDescent="0.25"/>
    <row r="360" s="4" customFormat="1" ht="12.75" customHeight="1" x14ac:dyDescent="0.25"/>
    <row r="361" s="4" customFormat="1" ht="12.75" customHeight="1" x14ac:dyDescent="0.25"/>
    <row r="362" s="4" customFormat="1" ht="12.75" customHeight="1" x14ac:dyDescent="0.25"/>
    <row r="363" s="4" customFormat="1" ht="12.75" customHeight="1" x14ac:dyDescent="0.25"/>
    <row r="364" s="4" customFormat="1" ht="12.75" customHeight="1" x14ac:dyDescent="0.25"/>
    <row r="365" s="4" customFormat="1" ht="12.75" customHeight="1" x14ac:dyDescent="0.25"/>
    <row r="366" s="4" customFormat="1" ht="12.75" customHeight="1" x14ac:dyDescent="0.25"/>
    <row r="367" s="4" customFormat="1" ht="12.75" customHeight="1" x14ac:dyDescent="0.25"/>
    <row r="368" s="4" customFormat="1" ht="12.75" customHeight="1" x14ac:dyDescent="0.25"/>
    <row r="369" s="4" customFormat="1" ht="12.75" customHeight="1" x14ac:dyDescent="0.25"/>
    <row r="370" s="4" customFormat="1" ht="12.75" customHeight="1" x14ac:dyDescent="0.25"/>
    <row r="371" s="4" customFormat="1" ht="12.75" customHeight="1" x14ac:dyDescent="0.25"/>
    <row r="372" s="4" customFormat="1" ht="12.75" customHeight="1" x14ac:dyDescent="0.25"/>
    <row r="373" s="4" customFormat="1" ht="12.75" customHeight="1" x14ac:dyDescent="0.25"/>
    <row r="374" s="4" customFormat="1" ht="12.75" customHeight="1" x14ac:dyDescent="0.25"/>
    <row r="375" s="4" customFormat="1" ht="12.75" customHeight="1" x14ac:dyDescent="0.25"/>
    <row r="376" s="4" customFormat="1" ht="12.75" customHeight="1" x14ac:dyDescent="0.25"/>
    <row r="377" s="4" customFormat="1" ht="12.75" customHeight="1" x14ac:dyDescent="0.25"/>
    <row r="378" s="4" customFormat="1" ht="12.75" customHeight="1" x14ac:dyDescent="0.25"/>
    <row r="379" s="4" customFormat="1" ht="12.75" customHeight="1" x14ac:dyDescent="0.25"/>
    <row r="380" s="4" customFormat="1" ht="12.75" customHeight="1" x14ac:dyDescent="0.25"/>
    <row r="381" s="4" customFormat="1" ht="12.75" customHeight="1" x14ac:dyDescent="0.25"/>
    <row r="382" s="4" customFormat="1" ht="12.75" customHeight="1" x14ac:dyDescent="0.25"/>
    <row r="383" s="4" customFormat="1" ht="12.75" customHeight="1" x14ac:dyDescent="0.25"/>
    <row r="384" s="4" customFormat="1" ht="12.75" customHeight="1" x14ac:dyDescent="0.25"/>
    <row r="385" s="4" customFormat="1" ht="12.75" customHeight="1" x14ac:dyDescent="0.25"/>
    <row r="386" s="4" customFormat="1" ht="12.75" customHeight="1" x14ac:dyDescent="0.25"/>
    <row r="387" s="4" customFormat="1" ht="12.75" customHeight="1" x14ac:dyDescent="0.25"/>
    <row r="388" s="4" customFormat="1" ht="12.75" customHeight="1" x14ac:dyDescent="0.25"/>
    <row r="389" s="4" customFormat="1" ht="12.75" customHeight="1" x14ac:dyDescent="0.25"/>
    <row r="390" s="4" customFormat="1" ht="12.75" customHeight="1" x14ac:dyDescent="0.25"/>
    <row r="391" s="4" customFormat="1" ht="12.75" customHeight="1" x14ac:dyDescent="0.25"/>
    <row r="392" s="4" customFormat="1" ht="12.75" customHeight="1" x14ac:dyDescent="0.25"/>
    <row r="393" s="4" customFormat="1" ht="12.75" customHeight="1" x14ac:dyDescent="0.25"/>
    <row r="394" s="4" customFormat="1" ht="12.75" customHeight="1" x14ac:dyDescent="0.25"/>
    <row r="395" s="4" customFormat="1" ht="12.75" customHeight="1" x14ac:dyDescent="0.25"/>
    <row r="396" s="4" customFormat="1" ht="12.75" customHeight="1" x14ac:dyDescent="0.25"/>
    <row r="397" s="4" customFormat="1" ht="12.75" customHeight="1" x14ac:dyDescent="0.25"/>
    <row r="398" s="4" customFormat="1" ht="12.75" customHeight="1" x14ac:dyDescent="0.25"/>
    <row r="399" s="4" customFormat="1" ht="12.75" customHeight="1" x14ac:dyDescent="0.25"/>
    <row r="400" s="4" customFormat="1" ht="12.75" customHeight="1" x14ac:dyDescent="0.25"/>
    <row r="401" s="4" customFormat="1" ht="12.75" customHeight="1" x14ac:dyDescent="0.25"/>
    <row r="402" s="4" customFormat="1" ht="12.75" customHeight="1" x14ac:dyDescent="0.25"/>
    <row r="403" s="4" customFormat="1" ht="12.75" customHeight="1" x14ac:dyDescent="0.25"/>
    <row r="404" s="4" customFormat="1" ht="12.75" customHeight="1" x14ac:dyDescent="0.25"/>
    <row r="405" s="4" customFormat="1" ht="12.75" customHeight="1" x14ac:dyDescent="0.25"/>
    <row r="406" s="4" customFormat="1" ht="12.75" customHeight="1" x14ac:dyDescent="0.25"/>
    <row r="407" s="4" customFormat="1" ht="12.75" customHeight="1" x14ac:dyDescent="0.25"/>
    <row r="408" s="4" customFormat="1" ht="12.75" customHeight="1" x14ac:dyDescent="0.25"/>
    <row r="409" s="4" customFormat="1" ht="12.75" customHeight="1" x14ac:dyDescent="0.25"/>
    <row r="410" s="4" customFormat="1" ht="12.75" customHeight="1" x14ac:dyDescent="0.25"/>
    <row r="411" s="4" customFormat="1" ht="12.75" customHeight="1" x14ac:dyDescent="0.25"/>
    <row r="412" s="4" customFormat="1" ht="12.75" customHeight="1" x14ac:dyDescent="0.25"/>
    <row r="413" s="4" customFormat="1" ht="12.75" customHeight="1" x14ac:dyDescent="0.25"/>
    <row r="414" s="4" customFormat="1" ht="12.75" customHeight="1" x14ac:dyDescent="0.25"/>
    <row r="415" s="4" customFormat="1" ht="12.75" customHeight="1" x14ac:dyDescent="0.25"/>
    <row r="416" s="4" customFormat="1" ht="12.75" customHeight="1" x14ac:dyDescent="0.25"/>
    <row r="417" s="4" customFormat="1" ht="12.75" customHeight="1" x14ac:dyDescent="0.25"/>
    <row r="418" s="4" customFormat="1" ht="12.75" customHeight="1" x14ac:dyDescent="0.25"/>
    <row r="419" s="4" customFormat="1" ht="12.75" customHeight="1" x14ac:dyDescent="0.25"/>
    <row r="420" s="4" customFormat="1" ht="12.75" customHeight="1" x14ac:dyDescent="0.25"/>
    <row r="421" s="4" customFormat="1" ht="12.75" customHeight="1" x14ac:dyDescent="0.25"/>
    <row r="422" s="4" customFormat="1" ht="12.75" customHeight="1" x14ac:dyDescent="0.25"/>
    <row r="423" s="4" customFormat="1" ht="12.75" customHeight="1" x14ac:dyDescent="0.25"/>
    <row r="424" s="4" customFormat="1" ht="12.75" customHeight="1" x14ac:dyDescent="0.25"/>
    <row r="425" s="4" customFormat="1" ht="12.75" customHeight="1" x14ac:dyDescent="0.25"/>
    <row r="426" s="4" customFormat="1" ht="12.75" customHeight="1" x14ac:dyDescent="0.25"/>
    <row r="427" s="4" customFormat="1" ht="12.75" customHeight="1" x14ac:dyDescent="0.25"/>
    <row r="428" s="4" customFormat="1" ht="12.75" customHeight="1" x14ac:dyDescent="0.25"/>
    <row r="429" s="4" customFormat="1" ht="12.75" customHeight="1" x14ac:dyDescent="0.25"/>
    <row r="430" s="4" customFormat="1" ht="12.75" customHeight="1" x14ac:dyDescent="0.25"/>
    <row r="431" s="4" customFormat="1" ht="12.75" customHeight="1" x14ac:dyDescent="0.25"/>
    <row r="432" s="4" customFormat="1" ht="12.75" customHeight="1" x14ac:dyDescent="0.25"/>
    <row r="433" s="4" customFormat="1" ht="12.75" customHeight="1" x14ac:dyDescent="0.25"/>
    <row r="434" s="4" customFormat="1" ht="12.75" customHeight="1" x14ac:dyDescent="0.25"/>
    <row r="435" s="4" customFormat="1" ht="12.75" customHeight="1" x14ac:dyDescent="0.25"/>
    <row r="436" s="4" customFormat="1" ht="12.75" customHeight="1" x14ac:dyDescent="0.25"/>
    <row r="437" s="4" customFormat="1" ht="12.75" customHeight="1" x14ac:dyDescent="0.25"/>
    <row r="438" s="4" customFormat="1" ht="12.75" customHeight="1" x14ac:dyDescent="0.25"/>
    <row r="439" s="4" customFormat="1" ht="12.75" customHeight="1" x14ac:dyDescent="0.25"/>
    <row r="440" s="4" customFormat="1" ht="12.75" customHeight="1" x14ac:dyDescent="0.25"/>
    <row r="441" s="4" customFormat="1" ht="12.75" customHeight="1" x14ac:dyDescent="0.25"/>
    <row r="442" s="4" customFormat="1" ht="12.75" customHeight="1" x14ac:dyDescent="0.25"/>
    <row r="443" s="4" customFormat="1" ht="12.75" customHeight="1" x14ac:dyDescent="0.25"/>
    <row r="444" s="4" customFormat="1" ht="12.75" customHeight="1" x14ac:dyDescent="0.25"/>
    <row r="445" s="4" customFormat="1" ht="12.75" customHeight="1" x14ac:dyDescent="0.25"/>
    <row r="446" s="4" customFormat="1" ht="12.75" customHeight="1" x14ac:dyDescent="0.25"/>
    <row r="447" s="4" customFormat="1" ht="12.75" customHeight="1" x14ac:dyDescent="0.25"/>
    <row r="448" s="4" customFormat="1" ht="12.75" customHeight="1" x14ac:dyDescent="0.25"/>
    <row r="449" s="4" customFormat="1" ht="12.75" customHeight="1" x14ac:dyDescent="0.25"/>
    <row r="450" s="4" customFormat="1" ht="12.75" customHeight="1" x14ac:dyDescent="0.25"/>
    <row r="451" s="4" customFormat="1" ht="12.75" customHeight="1" x14ac:dyDescent="0.25"/>
    <row r="452" s="4" customFormat="1" ht="12.75" customHeight="1" x14ac:dyDescent="0.25"/>
    <row r="453" s="4" customFormat="1" ht="12.75" customHeight="1" x14ac:dyDescent="0.25"/>
    <row r="454" s="4" customFormat="1" ht="12.75" customHeight="1" x14ac:dyDescent="0.25"/>
    <row r="455" s="4" customFormat="1" ht="12.75" customHeight="1" x14ac:dyDescent="0.25"/>
    <row r="456" s="4" customFormat="1" ht="12.75" customHeight="1" x14ac:dyDescent="0.25"/>
    <row r="457" s="4" customFormat="1" ht="12.75" customHeight="1" x14ac:dyDescent="0.25"/>
    <row r="458" s="4" customFormat="1" ht="12.75" customHeight="1" x14ac:dyDescent="0.25"/>
    <row r="459" s="4" customFormat="1" ht="12.75" customHeight="1" x14ac:dyDescent="0.25"/>
    <row r="460" s="4" customFormat="1" ht="12.75" customHeight="1" x14ac:dyDescent="0.25"/>
    <row r="461" s="4" customFormat="1" ht="12.75" customHeight="1" x14ac:dyDescent="0.25"/>
    <row r="462" s="4" customFormat="1" ht="12.75" customHeight="1" x14ac:dyDescent="0.25"/>
    <row r="463" s="4" customFormat="1" ht="12.75" customHeight="1" x14ac:dyDescent="0.25"/>
    <row r="464" s="4" customFormat="1" ht="12.75" customHeight="1" x14ac:dyDescent="0.25"/>
    <row r="465" s="4" customFormat="1" ht="12.75" customHeight="1" x14ac:dyDescent="0.25"/>
    <row r="466" s="4" customFormat="1" ht="12.75" customHeight="1" x14ac:dyDescent="0.25"/>
    <row r="467" s="4" customFormat="1" ht="12.75" customHeight="1" x14ac:dyDescent="0.25"/>
    <row r="468" s="4" customFormat="1" ht="12.75" customHeight="1" x14ac:dyDescent="0.25"/>
    <row r="469" s="4" customFormat="1" ht="12.75" customHeight="1" x14ac:dyDescent="0.25"/>
    <row r="470" s="4" customFormat="1" ht="12.75" customHeight="1" x14ac:dyDescent="0.25"/>
    <row r="471" s="4" customFormat="1" ht="12.75" customHeight="1" x14ac:dyDescent="0.25"/>
    <row r="472" s="4" customFormat="1" ht="12.75" customHeight="1" x14ac:dyDescent="0.25"/>
    <row r="473" s="4" customFormat="1" ht="12.75" customHeight="1" x14ac:dyDescent="0.25"/>
    <row r="474" s="4" customFormat="1" ht="12.75" customHeight="1" x14ac:dyDescent="0.25"/>
    <row r="475" s="4" customFormat="1" ht="12.75" customHeight="1" x14ac:dyDescent="0.25"/>
    <row r="476" s="4" customFormat="1" ht="12.75" customHeight="1" x14ac:dyDescent="0.25"/>
    <row r="477" s="4" customFormat="1" ht="12.75" customHeight="1" x14ac:dyDescent="0.25"/>
    <row r="478" s="4" customFormat="1" ht="12.75" customHeight="1" x14ac:dyDescent="0.25"/>
    <row r="479" s="4" customFormat="1" ht="12.75" customHeight="1" x14ac:dyDescent="0.25"/>
    <row r="480" s="4" customFormat="1" ht="12.75" customHeight="1" x14ac:dyDescent="0.25"/>
    <row r="481" s="4" customFormat="1" ht="12.75" customHeight="1" x14ac:dyDescent="0.25"/>
    <row r="482" s="4" customFormat="1" ht="12.75" customHeight="1" x14ac:dyDescent="0.25"/>
    <row r="483" s="4" customFormat="1" ht="12.75" customHeight="1" x14ac:dyDescent="0.25"/>
    <row r="484" s="4" customFormat="1" ht="12.75" customHeight="1" x14ac:dyDescent="0.25"/>
    <row r="485" s="4" customFormat="1" ht="12.75" customHeight="1" x14ac:dyDescent="0.25"/>
    <row r="486" s="4" customFormat="1" ht="12.75" customHeight="1" x14ac:dyDescent="0.25"/>
    <row r="487" s="4" customFormat="1" ht="12.75" customHeight="1" x14ac:dyDescent="0.25"/>
    <row r="488" s="4" customFormat="1" ht="12.75" customHeight="1" x14ac:dyDescent="0.25"/>
    <row r="489" s="4" customFormat="1" ht="12.75" customHeight="1" x14ac:dyDescent="0.25"/>
    <row r="490" s="4" customFormat="1" ht="12.75" customHeight="1" x14ac:dyDescent="0.25"/>
    <row r="491" s="4" customFormat="1" ht="12.75" customHeight="1" x14ac:dyDescent="0.25"/>
    <row r="492" s="4" customFormat="1" ht="12.75" customHeight="1" x14ac:dyDescent="0.25"/>
    <row r="493" s="4" customFormat="1" ht="12.75" customHeight="1" x14ac:dyDescent="0.25"/>
    <row r="494" s="4" customFormat="1" ht="12.75" customHeight="1" x14ac:dyDescent="0.25"/>
    <row r="495" s="4" customFormat="1" ht="12.75" customHeight="1" x14ac:dyDescent="0.25"/>
    <row r="496" s="4" customFormat="1" ht="12.75" customHeight="1" x14ac:dyDescent="0.25"/>
    <row r="497" s="4" customFormat="1" ht="12.75" customHeight="1" x14ac:dyDescent="0.25"/>
    <row r="498" s="4" customFormat="1" ht="12.75" customHeight="1" x14ac:dyDescent="0.25"/>
    <row r="499" s="4" customFormat="1" ht="12.75" customHeight="1" x14ac:dyDescent="0.25"/>
    <row r="500" s="4" customFormat="1" ht="12.75" customHeight="1" x14ac:dyDescent="0.25"/>
    <row r="501" s="4" customFormat="1" ht="12.75" customHeight="1" x14ac:dyDescent="0.25"/>
    <row r="502" s="4" customFormat="1" ht="12.75" customHeight="1" x14ac:dyDescent="0.25"/>
    <row r="503" s="4" customFormat="1" ht="12.75" customHeight="1" x14ac:dyDescent="0.25"/>
    <row r="504" s="4" customFormat="1" ht="12.75" customHeight="1" x14ac:dyDescent="0.25"/>
    <row r="505" s="4" customFormat="1" ht="12.75" customHeight="1" x14ac:dyDescent="0.25"/>
    <row r="506" s="4" customFormat="1" ht="12.75" customHeight="1" x14ac:dyDescent="0.25"/>
    <row r="507" s="4" customFormat="1" ht="12.75" customHeight="1" x14ac:dyDescent="0.25"/>
    <row r="508" s="4" customFormat="1" ht="12.75" customHeight="1" x14ac:dyDescent="0.25"/>
    <row r="509" s="4" customFormat="1" ht="12.75" customHeight="1" x14ac:dyDescent="0.25"/>
    <row r="510" s="4" customFormat="1" ht="12.75" customHeight="1" x14ac:dyDescent="0.25"/>
    <row r="511" s="4" customFormat="1" ht="12.75" customHeight="1" x14ac:dyDescent="0.25"/>
    <row r="512" s="4" customFormat="1" ht="12.75" customHeight="1" x14ac:dyDescent="0.25"/>
    <row r="513" s="4" customFormat="1" ht="12.75" customHeight="1" x14ac:dyDescent="0.25"/>
    <row r="514" s="4" customFormat="1" ht="12.75" customHeight="1" x14ac:dyDescent="0.25"/>
    <row r="515" s="4" customFormat="1" ht="12.75" customHeight="1" x14ac:dyDescent="0.25"/>
    <row r="516" s="4" customFormat="1" ht="12.75" customHeight="1" x14ac:dyDescent="0.25"/>
    <row r="517" s="4" customFormat="1" ht="12.75" customHeight="1" x14ac:dyDescent="0.25"/>
    <row r="518" s="4" customFormat="1" ht="12.75" customHeight="1" x14ac:dyDescent="0.25"/>
    <row r="519" s="4" customFormat="1" ht="12.75" customHeight="1" x14ac:dyDescent="0.25"/>
    <row r="520" s="4" customFormat="1" ht="12.75" customHeight="1" x14ac:dyDescent="0.25"/>
    <row r="521" s="4" customFormat="1" ht="12.75" customHeight="1" x14ac:dyDescent="0.25"/>
    <row r="522" s="4" customFormat="1" ht="12.75" customHeight="1" x14ac:dyDescent="0.25"/>
    <row r="523" s="4" customFormat="1" ht="12.75" customHeight="1" x14ac:dyDescent="0.25"/>
    <row r="524" s="4" customFormat="1" ht="12.75" customHeight="1" x14ac:dyDescent="0.25"/>
    <row r="525" s="4" customFormat="1" ht="12.75" customHeight="1" x14ac:dyDescent="0.25"/>
    <row r="526" s="4" customFormat="1" ht="12.75" customHeight="1" x14ac:dyDescent="0.25"/>
    <row r="527" s="4" customFormat="1" ht="12.75" customHeight="1" x14ac:dyDescent="0.25"/>
    <row r="528" s="4" customFormat="1" ht="12.75" customHeight="1" x14ac:dyDescent="0.25"/>
    <row r="529" s="4" customFormat="1" ht="12.75" customHeight="1" x14ac:dyDescent="0.25"/>
    <row r="530" s="4" customFormat="1" ht="12.75" customHeight="1" x14ac:dyDescent="0.25"/>
    <row r="531" s="4" customFormat="1" ht="12.75" customHeight="1" x14ac:dyDescent="0.25"/>
    <row r="532" s="4" customFormat="1" ht="12.75" customHeight="1" x14ac:dyDescent="0.25"/>
    <row r="533" s="4" customFormat="1" ht="12.75" customHeight="1" x14ac:dyDescent="0.25"/>
    <row r="534" s="4" customFormat="1" ht="12.75" customHeight="1" x14ac:dyDescent="0.25"/>
    <row r="535" s="4" customFormat="1" ht="12.75" customHeight="1" x14ac:dyDescent="0.25"/>
    <row r="536" s="4" customFormat="1" ht="12.75" customHeight="1" x14ac:dyDescent="0.25"/>
    <row r="537" s="4" customFormat="1" ht="12.75" customHeight="1" x14ac:dyDescent="0.25"/>
    <row r="538" s="4" customFormat="1" ht="12.75" customHeight="1" x14ac:dyDescent="0.25"/>
    <row r="539" s="4" customFormat="1" ht="12.75" customHeight="1" x14ac:dyDescent="0.25"/>
    <row r="540" s="4" customFormat="1" ht="12.75" customHeight="1" x14ac:dyDescent="0.25"/>
    <row r="541" s="4" customFormat="1" ht="12.75" customHeight="1" x14ac:dyDescent="0.25"/>
    <row r="542" s="4" customFormat="1" ht="12.75" customHeight="1" x14ac:dyDescent="0.25"/>
    <row r="543" s="4" customFormat="1" ht="12.75" customHeight="1" x14ac:dyDescent="0.25"/>
    <row r="544" s="4" customFormat="1" ht="12.75" customHeight="1" x14ac:dyDescent="0.25"/>
    <row r="545" s="4" customFormat="1" ht="12.75" customHeight="1" x14ac:dyDescent="0.25"/>
    <row r="546" s="4" customFormat="1" ht="12.75" customHeight="1" x14ac:dyDescent="0.25"/>
    <row r="547" s="4" customFormat="1" ht="12.75" customHeight="1" x14ac:dyDescent="0.25"/>
    <row r="548" s="4" customFormat="1" ht="12.75" customHeight="1" x14ac:dyDescent="0.25"/>
    <row r="549" s="4" customFormat="1" ht="12.75" customHeight="1" x14ac:dyDescent="0.25"/>
    <row r="550" s="4" customFormat="1" ht="12.75" customHeight="1" x14ac:dyDescent="0.25"/>
    <row r="551" s="4" customFormat="1" ht="12.75" customHeight="1" x14ac:dyDescent="0.25"/>
    <row r="552" s="4" customFormat="1" ht="12.75" customHeight="1" x14ac:dyDescent="0.25"/>
    <row r="553" s="4" customFormat="1" ht="12.75" customHeight="1" x14ac:dyDescent="0.25"/>
    <row r="554" s="4" customFormat="1" ht="12.75" customHeight="1" x14ac:dyDescent="0.25"/>
    <row r="555" s="4" customFormat="1" ht="12.75" customHeight="1" x14ac:dyDescent="0.25"/>
    <row r="556" s="4" customFormat="1" ht="12.75" customHeight="1" x14ac:dyDescent="0.25"/>
    <row r="557" s="4" customFormat="1" ht="12.75" customHeight="1" x14ac:dyDescent="0.25"/>
    <row r="558" s="4" customFormat="1" ht="12.75" customHeight="1" x14ac:dyDescent="0.25"/>
    <row r="559" s="4" customFormat="1" ht="12.75" customHeight="1" x14ac:dyDescent="0.25"/>
    <row r="560" s="4" customFormat="1" ht="12.75" customHeight="1" x14ac:dyDescent="0.25"/>
    <row r="561" s="4" customFormat="1" ht="12.75" customHeight="1" x14ac:dyDescent="0.25"/>
    <row r="562" s="4" customFormat="1" ht="12.75" customHeight="1" x14ac:dyDescent="0.25"/>
    <row r="563" s="4" customFormat="1" ht="12.75" customHeight="1" x14ac:dyDescent="0.25"/>
    <row r="564" s="4" customFormat="1" ht="12.75" customHeight="1" x14ac:dyDescent="0.25"/>
    <row r="565" s="4" customFormat="1" ht="12.75" customHeight="1" x14ac:dyDescent="0.25"/>
    <row r="566" s="4" customFormat="1" ht="12.75" customHeight="1" x14ac:dyDescent="0.25"/>
    <row r="567" s="4" customFormat="1" ht="12.75" customHeight="1" x14ac:dyDescent="0.25"/>
    <row r="568" s="4" customFormat="1" ht="12.75" customHeight="1" x14ac:dyDescent="0.25"/>
    <row r="569" s="4" customFormat="1" ht="12.75" customHeight="1" x14ac:dyDescent="0.25"/>
    <row r="570" s="4" customFormat="1" ht="12.75" customHeight="1" x14ac:dyDescent="0.25"/>
    <row r="571" s="4" customFormat="1" ht="12.75" customHeight="1" x14ac:dyDescent="0.25"/>
    <row r="572" s="4" customFormat="1" ht="12.75" customHeight="1" x14ac:dyDescent="0.25"/>
    <row r="573" s="4" customFormat="1" ht="12.75" customHeight="1" x14ac:dyDescent="0.25"/>
    <row r="574" s="4" customFormat="1" ht="12.75" customHeight="1" x14ac:dyDescent="0.25"/>
    <row r="575" s="4" customFormat="1" ht="12.75" customHeight="1" x14ac:dyDescent="0.25"/>
    <row r="576" s="4" customFormat="1" ht="12.75" customHeight="1" x14ac:dyDescent="0.25"/>
    <row r="577" s="4" customFormat="1" ht="12.75" customHeight="1" x14ac:dyDescent="0.25"/>
    <row r="578" s="4" customFormat="1" ht="12.75" customHeight="1" x14ac:dyDescent="0.25"/>
    <row r="579" s="4" customFormat="1" ht="12.75" customHeight="1" x14ac:dyDescent="0.25"/>
    <row r="580" s="4" customFormat="1" ht="12.75" customHeight="1" x14ac:dyDescent="0.25"/>
    <row r="581" s="4" customFormat="1" ht="12.75" customHeight="1" x14ac:dyDescent="0.25"/>
    <row r="582" s="4" customFormat="1" ht="12.75" customHeight="1" x14ac:dyDescent="0.25"/>
    <row r="583" s="4" customFormat="1" ht="12.75" customHeight="1" x14ac:dyDescent="0.25"/>
    <row r="584" s="4" customFormat="1" ht="12.75" customHeight="1" x14ac:dyDescent="0.25"/>
    <row r="585" s="4" customFormat="1" ht="12.75" customHeight="1" x14ac:dyDescent="0.25"/>
    <row r="586" s="4" customFormat="1" ht="12.75" customHeight="1" x14ac:dyDescent="0.25"/>
    <row r="587" s="4" customFormat="1" ht="12.75" customHeight="1" x14ac:dyDescent="0.25"/>
    <row r="588" s="4" customFormat="1" ht="12.75" customHeight="1" x14ac:dyDescent="0.25"/>
    <row r="589" s="4" customFormat="1" ht="12.75" customHeight="1" x14ac:dyDescent="0.25"/>
    <row r="590" s="4" customFormat="1" ht="12.75" customHeight="1" x14ac:dyDescent="0.25"/>
    <row r="591" s="4" customFormat="1" ht="12.75" customHeight="1" x14ac:dyDescent="0.25"/>
    <row r="592" s="4" customFormat="1" ht="12.75" customHeight="1" x14ac:dyDescent="0.25"/>
    <row r="593" s="4" customFormat="1" ht="12.75" customHeight="1" x14ac:dyDescent="0.25"/>
    <row r="594" s="4" customFormat="1" ht="12.75" customHeight="1" x14ac:dyDescent="0.25"/>
    <row r="595" s="4" customFormat="1" ht="12.75" customHeight="1" x14ac:dyDescent="0.25"/>
    <row r="596" s="4" customFormat="1" ht="12.75" customHeight="1" x14ac:dyDescent="0.25"/>
    <row r="597" s="4" customFormat="1" ht="12.75" customHeight="1" x14ac:dyDescent="0.25"/>
    <row r="598" s="4" customFormat="1" ht="12.75" customHeight="1" x14ac:dyDescent="0.25"/>
    <row r="599" s="4" customFormat="1" ht="12.75" customHeight="1" x14ac:dyDescent="0.25"/>
    <row r="600" s="4" customFormat="1" ht="12.75" customHeight="1" x14ac:dyDescent="0.25"/>
    <row r="601" s="4" customFormat="1" ht="12.75" customHeight="1" x14ac:dyDescent="0.25"/>
    <row r="602" s="4" customFormat="1" ht="12.75" customHeight="1" x14ac:dyDescent="0.25"/>
    <row r="603" s="4" customFormat="1" ht="12.75" customHeight="1" x14ac:dyDescent="0.25"/>
    <row r="604" s="4" customFormat="1" ht="12.75" customHeight="1" x14ac:dyDescent="0.25"/>
    <row r="605" s="4" customFormat="1" ht="12.75" customHeight="1" x14ac:dyDescent="0.25"/>
    <row r="606" s="4" customFormat="1" ht="12.75" customHeight="1" x14ac:dyDescent="0.25"/>
    <row r="607" s="4" customFormat="1" ht="12.75" customHeight="1" x14ac:dyDescent="0.25"/>
    <row r="608" s="4" customFormat="1" ht="12.75" customHeight="1" x14ac:dyDescent="0.25"/>
    <row r="609" s="4" customFormat="1" ht="12.75" customHeight="1" x14ac:dyDescent="0.25"/>
    <row r="610" s="4" customFormat="1" ht="12.75" customHeight="1" x14ac:dyDescent="0.25"/>
    <row r="611" s="4" customFormat="1" ht="12.75" customHeight="1" x14ac:dyDescent="0.25"/>
    <row r="612" s="4" customFormat="1" ht="12.75" customHeight="1" x14ac:dyDescent="0.25"/>
    <row r="613" s="4" customFormat="1" ht="12.75" customHeight="1" x14ac:dyDescent="0.25"/>
    <row r="614" s="4" customFormat="1" ht="12.75" customHeight="1" x14ac:dyDescent="0.25"/>
    <row r="615" s="4" customFormat="1" ht="12.75" customHeight="1" x14ac:dyDescent="0.25"/>
    <row r="616" s="4" customFormat="1" ht="12.75" customHeight="1" x14ac:dyDescent="0.25"/>
    <row r="617" s="4" customFormat="1" ht="12.75" customHeight="1" x14ac:dyDescent="0.25"/>
    <row r="618" s="4" customFormat="1" ht="12.75" customHeight="1" x14ac:dyDescent="0.25"/>
    <row r="619" s="4" customFormat="1" ht="12.75" customHeight="1" x14ac:dyDescent="0.25"/>
    <row r="620" s="4" customFormat="1" ht="12.75" customHeight="1" x14ac:dyDescent="0.25"/>
    <row r="621" s="4" customFormat="1" ht="12.75" customHeight="1" x14ac:dyDescent="0.25"/>
    <row r="622" s="4" customFormat="1" ht="12.75" customHeight="1" x14ac:dyDescent="0.25"/>
    <row r="623" s="4" customFormat="1" ht="12.75" customHeight="1" x14ac:dyDescent="0.25"/>
    <row r="624" s="4" customFormat="1" ht="12.75" customHeight="1" x14ac:dyDescent="0.25"/>
    <row r="625" s="4" customFormat="1" ht="12.75" customHeight="1" x14ac:dyDescent="0.25"/>
    <row r="626" s="4" customFormat="1" ht="12.75" customHeight="1" x14ac:dyDescent="0.25"/>
    <row r="627" s="4" customFormat="1" ht="12.75" customHeight="1" x14ac:dyDescent="0.25"/>
    <row r="628" s="4" customFormat="1" ht="12.75" customHeight="1" x14ac:dyDescent="0.25"/>
    <row r="629" s="4" customFormat="1" ht="12.75" customHeight="1" x14ac:dyDescent="0.25"/>
    <row r="630" s="4" customFormat="1" ht="12.75" customHeight="1" x14ac:dyDescent="0.25"/>
    <row r="631" s="4" customFormat="1" ht="12.75" customHeight="1" x14ac:dyDescent="0.25"/>
    <row r="632" s="4" customFormat="1" ht="12.75" customHeight="1" x14ac:dyDescent="0.25"/>
    <row r="633" s="4" customFormat="1" ht="12.75" customHeight="1" x14ac:dyDescent="0.25"/>
    <row r="634" s="4" customFormat="1" ht="12.75" customHeight="1" x14ac:dyDescent="0.25"/>
    <row r="635" s="4" customFormat="1" ht="12.75" customHeight="1" x14ac:dyDescent="0.25"/>
    <row r="636" s="4" customFormat="1" ht="12.75" customHeight="1" x14ac:dyDescent="0.25"/>
    <row r="637" s="4" customFormat="1" ht="12.75" customHeight="1" x14ac:dyDescent="0.25"/>
    <row r="638" s="4" customFormat="1" ht="12.75" customHeight="1" x14ac:dyDescent="0.25"/>
    <row r="639" s="4" customFormat="1" ht="12.75" customHeight="1" x14ac:dyDescent="0.25"/>
    <row r="640" s="4" customFormat="1" ht="12.75" customHeight="1" x14ac:dyDescent="0.25"/>
    <row r="641" s="4" customFormat="1" ht="12.75" customHeight="1" x14ac:dyDescent="0.25"/>
    <row r="642" s="4" customFormat="1" ht="12.75" customHeight="1" x14ac:dyDescent="0.25"/>
    <row r="643" s="4" customFormat="1" ht="12.75" customHeight="1" x14ac:dyDescent="0.25"/>
    <row r="644" s="4" customFormat="1" ht="12.75" customHeight="1" x14ac:dyDescent="0.25"/>
    <row r="645" s="4" customFormat="1" ht="12.75" customHeight="1" x14ac:dyDescent="0.25"/>
    <row r="646" s="4" customFormat="1" ht="12.75" customHeight="1" x14ac:dyDescent="0.25"/>
    <row r="647" s="4" customFormat="1" ht="12.75" customHeight="1" x14ac:dyDescent="0.25"/>
    <row r="648" s="4" customFormat="1" ht="12.75" customHeight="1" x14ac:dyDescent="0.25"/>
    <row r="649" s="4" customFormat="1" ht="12.75" customHeight="1" x14ac:dyDescent="0.25"/>
    <row r="650" s="4" customFormat="1" ht="12.75" customHeight="1" x14ac:dyDescent="0.25"/>
    <row r="651" s="4" customFormat="1" ht="12.75" customHeight="1" x14ac:dyDescent="0.25"/>
    <row r="652" s="4" customFormat="1" ht="12.75" customHeight="1" x14ac:dyDescent="0.25"/>
    <row r="653" s="4" customFormat="1" ht="12.75" customHeight="1" x14ac:dyDescent="0.25"/>
    <row r="654" s="4" customFormat="1" ht="12.75" customHeight="1" x14ac:dyDescent="0.25"/>
    <row r="655" s="4" customFormat="1" ht="12.75" customHeight="1" x14ac:dyDescent="0.25"/>
    <row r="656" s="4" customFormat="1" ht="12.75" customHeight="1" x14ac:dyDescent="0.25"/>
    <row r="657" s="4" customFormat="1" ht="12.75" customHeight="1" x14ac:dyDescent="0.25"/>
    <row r="658" s="4" customFormat="1" ht="12.75" customHeight="1" x14ac:dyDescent="0.25"/>
    <row r="659" s="4" customFormat="1" ht="12.75" customHeight="1" x14ac:dyDescent="0.25"/>
    <row r="660" s="4" customFormat="1" ht="12.75" customHeight="1" x14ac:dyDescent="0.25"/>
    <row r="661" s="4" customFormat="1" ht="12.75" customHeight="1" x14ac:dyDescent="0.25"/>
    <row r="662" s="4" customFormat="1" ht="12.75" customHeight="1" x14ac:dyDescent="0.25"/>
    <row r="663" s="4" customFormat="1" ht="12.75" customHeight="1" x14ac:dyDescent="0.25"/>
    <row r="664" s="4" customFormat="1" ht="12.75" customHeight="1" x14ac:dyDescent="0.25"/>
    <row r="665" s="4" customFormat="1" ht="12.75" customHeight="1" x14ac:dyDescent="0.25"/>
    <row r="666" s="4" customFormat="1" ht="12.75" customHeight="1" x14ac:dyDescent="0.25"/>
    <row r="667" s="4" customFormat="1" ht="12.75" customHeight="1" x14ac:dyDescent="0.25"/>
    <row r="668" s="4" customFormat="1" ht="12.75" customHeight="1" x14ac:dyDescent="0.25"/>
    <row r="669" s="4" customFormat="1" ht="12.75" customHeight="1" x14ac:dyDescent="0.25"/>
    <row r="670" s="4" customFormat="1" ht="12.75" customHeight="1" x14ac:dyDescent="0.25"/>
    <row r="671" s="4" customFormat="1" ht="12.75" customHeight="1" x14ac:dyDescent="0.25"/>
    <row r="672" s="4" customFormat="1" ht="12.75" customHeight="1" x14ac:dyDescent="0.25"/>
    <row r="673" s="4" customFormat="1" ht="12.75" customHeight="1" x14ac:dyDescent="0.25"/>
    <row r="674" s="4" customFormat="1" ht="12.75" customHeight="1" x14ac:dyDescent="0.25"/>
    <row r="675" s="4" customFormat="1" ht="12.75" customHeight="1" x14ac:dyDescent="0.25"/>
    <row r="676" s="4" customFormat="1" ht="12.75" customHeight="1" x14ac:dyDescent="0.25"/>
    <row r="677" s="4" customFormat="1" ht="12.75" customHeight="1" x14ac:dyDescent="0.25"/>
    <row r="678" s="4" customFormat="1" ht="12.75" customHeight="1" x14ac:dyDescent="0.25"/>
    <row r="679" s="4" customFormat="1" ht="12.75" customHeight="1" x14ac:dyDescent="0.25"/>
    <row r="680" s="4" customFormat="1" ht="12.75" customHeight="1" x14ac:dyDescent="0.25"/>
    <row r="681" s="4" customFormat="1" ht="12.75" customHeight="1" x14ac:dyDescent="0.25"/>
    <row r="682" s="4" customFormat="1" ht="12.75" customHeight="1" x14ac:dyDescent="0.25"/>
    <row r="683" s="4" customFormat="1" ht="12.75" customHeight="1" x14ac:dyDescent="0.25"/>
    <row r="684" s="4" customFormat="1" ht="12.75" customHeight="1" x14ac:dyDescent="0.25"/>
    <row r="685" s="4" customFormat="1" ht="12.75" customHeight="1" x14ac:dyDescent="0.25"/>
    <row r="686" s="4" customFormat="1" ht="12.75" customHeight="1" x14ac:dyDescent="0.25"/>
    <row r="687" s="4" customFormat="1" ht="12.75" customHeight="1" x14ac:dyDescent="0.25"/>
    <row r="688" s="4" customFormat="1" ht="12.75" customHeight="1" x14ac:dyDescent="0.25"/>
    <row r="689" s="4" customFormat="1" ht="12.75" customHeight="1" x14ac:dyDescent="0.25"/>
    <row r="690" s="4" customFormat="1" ht="12.75" customHeight="1" x14ac:dyDescent="0.25"/>
    <row r="691" s="4" customFormat="1" ht="12.75" customHeight="1" x14ac:dyDescent="0.25"/>
    <row r="692" s="4" customFormat="1" ht="12.75" customHeight="1" x14ac:dyDescent="0.25"/>
    <row r="693" s="4" customFormat="1" ht="12.75" customHeight="1" x14ac:dyDescent="0.25"/>
    <row r="694" s="4" customFormat="1" ht="12.75" customHeight="1" x14ac:dyDescent="0.25"/>
    <row r="695" s="4" customFormat="1" ht="12.75" customHeight="1" x14ac:dyDescent="0.25"/>
    <row r="696" s="4" customFormat="1" ht="12.75" customHeight="1" x14ac:dyDescent="0.25"/>
    <row r="697" s="4" customFormat="1" ht="12.75" customHeight="1" x14ac:dyDescent="0.25"/>
    <row r="698" s="4" customFormat="1" ht="12.75" customHeight="1" x14ac:dyDescent="0.25"/>
    <row r="699" s="4" customFormat="1" ht="12.75" customHeight="1" x14ac:dyDescent="0.25"/>
    <row r="700" s="4" customFormat="1" ht="12.75" customHeight="1" x14ac:dyDescent="0.25"/>
    <row r="701" s="4" customFormat="1" ht="12.75" customHeight="1" x14ac:dyDescent="0.25"/>
    <row r="702" s="4" customFormat="1" ht="12.75" customHeight="1" x14ac:dyDescent="0.25"/>
    <row r="703" s="4" customFormat="1" ht="12.75" customHeight="1" x14ac:dyDescent="0.25"/>
    <row r="704" s="4" customFormat="1" ht="12.75" customHeight="1" x14ac:dyDescent="0.25"/>
    <row r="705" s="4" customFormat="1" ht="12.75" customHeight="1" x14ac:dyDescent="0.25"/>
    <row r="706" s="4" customFormat="1" ht="12.75" customHeight="1" x14ac:dyDescent="0.25"/>
    <row r="707" s="4" customFormat="1" ht="12.75" customHeight="1" x14ac:dyDescent="0.25"/>
    <row r="708" s="4" customFormat="1" ht="12.75" customHeight="1" x14ac:dyDescent="0.25"/>
    <row r="709" s="4" customFormat="1" ht="12.75" customHeight="1" x14ac:dyDescent="0.25"/>
    <row r="710" s="4" customFormat="1" ht="12.75" customHeight="1" x14ac:dyDescent="0.25"/>
    <row r="711" s="4" customFormat="1" ht="12.75" customHeight="1" x14ac:dyDescent="0.25"/>
    <row r="712" s="4" customFormat="1" ht="12.75" customHeight="1" x14ac:dyDescent="0.25"/>
    <row r="713" s="4" customFormat="1" ht="12.75" customHeight="1" x14ac:dyDescent="0.25"/>
    <row r="714" s="4" customFormat="1" ht="12.75" customHeight="1" x14ac:dyDescent="0.25"/>
    <row r="715" s="4" customFormat="1" ht="12.75" customHeight="1" x14ac:dyDescent="0.25"/>
    <row r="716" s="4" customFormat="1" ht="12.75" customHeight="1" x14ac:dyDescent="0.25"/>
    <row r="717" s="4" customFormat="1" ht="12.75" customHeight="1" x14ac:dyDescent="0.25"/>
    <row r="718" s="4" customFormat="1" ht="12.75" customHeight="1" x14ac:dyDescent="0.25"/>
    <row r="719" s="4" customFormat="1" ht="12.75" customHeight="1" x14ac:dyDescent="0.25"/>
    <row r="720" s="4" customFormat="1" ht="12.75" customHeight="1" x14ac:dyDescent="0.25"/>
    <row r="721" s="4" customFormat="1" ht="12.75" customHeight="1" x14ac:dyDescent="0.25"/>
    <row r="722" s="4" customFormat="1" ht="12.75" customHeight="1" x14ac:dyDescent="0.25"/>
    <row r="723" s="4" customFormat="1" ht="12.75" customHeight="1" x14ac:dyDescent="0.25"/>
    <row r="724" s="4" customFormat="1" ht="12.75" customHeight="1" x14ac:dyDescent="0.25"/>
    <row r="725" s="4" customFormat="1" ht="12.75" customHeight="1" x14ac:dyDescent="0.25"/>
    <row r="726" s="4" customFormat="1" ht="12.75" customHeight="1" x14ac:dyDescent="0.25"/>
    <row r="727" s="4" customFormat="1" ht="12.75" customHeight="1" x14ac:dyDescent="0.25"/>
    <row r="728" s="4" customFormat="1" ht="12.75" customHeight="1" x14ac:dyDescent="0.25"/>
    <row r="729" s="4" customFormat="1" ht="12.75" customHeight="1" x14ac:dyDescent="0.25"/>
    <row r="730" s="4" customFormat="1" ht="12.75" customHeight="1" x14ac:dyDescent="0.25"/>
    <row r="731" s="4" customFormat="1" ht="12.75" customHeight="1" x14ac:dyDescent="0.25"/>
    <row r="732" s="4" customFormat="1" ht="12.75" customHeight="1" x14ac:dyDescent="0.25"/>
    <row r="733" s="4" customFormat="1" ht="12.75" customHeight="1" x14ac:dyDescent="0.25"/>
    <row r="734" s="4" customFormat="1" ht="12.75" customHeight="1" x14ac:dyDescent="0.25"/>
    <row r="735" s="4" customFormat="1" ht="12.75" customHeight="1" x14ac:dyDescent="0.25"/>
    <row r="736" s="4" customFormat="1" ht="12.75" customHeight="1" x14ac:dyDescent="0.25"/>
    <row r="737" s="4" customFormat="1" ht="12.75" customHeight="1" x14ac:dyDescent="0.25"/>
    <row r="738" s="4" customFormat="1" ht="12.75" customHeight="1" x14ac:dyDescent="0.25"/>
    <row r="739" s="4" customFormat="1" ht="12.75" customHeight="1" x14ac:dyDescent="0.25"/>
    <row r="740" s="4" customFormat="1" ht="12.75" customHeight="1" x14ac:dyDescent="0.25"/>
    <row r="741" s="4" customFormat="1" ht="12.75" customHeight="1" x14ac:dyDescent="0.25"/>
    <row r="742" s="4" customFormat="1" ht="12.75" customHeight="1" x14ac:dyDescent="0.25"/>
    <row r="743" s="4" customFormat="1" ht="12.75" customHeight="1" x14ac:dyDescent="0.25"/>
    <row r="744" s="4" customFormat="1" ht="12.75" customHeight="1" x14ac:dyDescent="0.25"/>
    <row r="745" s="4" customFormat="1" ht="12.75" customHeight="1" x14ac:dyDescent="0.25"/>
    <row r="746" s="4" customFormat="1" ht="12.75" customHeight="1" x14ac:dyDescent="0.25"/>
    <row r="747" s="4" customFormat="1" ht="12.75" customHeight="1" x14ac:dyDescent="0.25"/>
    <row r="748" s="4" customFormat="1" ht="12.75" customHeight="1" x14ac:dyDescent="0.25"/>
    <row r="749" s="4" customFormat="1" ht="12.75" customHeight="1" x14ac:dyDescent="0.25"/>
    <row r="750" s="4" customFormat="1" ht="12.75" customHeight="1" x14ac:dyDescent="0.25"/>
    <row r="751" s="4" customFormat="1" ht="12.75" customHeight="1" x14ac:dyDescent="0.25"/>
    <row r="752" s="4" customFormat="1" ht="12.75" customHeight="1" x14ac:dyDescent="0.25"/>
    <row r="753" s="4" customFormat="1" ht="12.75" customHeight="1" x14ac:dyDescent="0.25"/>
    <row r="754" s="4" customFormat="1" ht="12.75" customHeight="1" x14ac:dyDescent="0.25"/>
    <row r="755" s="4" customFormat="1" ht="12.75" customHeight="1" x14ac:dyDescent="0.25"/>
    <row r="756" s="4" customFormat="1" ht="12.75" customHeight="1" x14ac:dyDescent="0.25"/>
    <row r="757" s="4" customFormat="1" ht="12.75" customHeight="1" x14ac:dyDescent="0.25"/>
    <row r="758" s="4" customFormat="1" ht="12.75" customHeight="1" x14ac:dyDescent="0.25"/>
    <row r="759" s="4" customFormat="1" ht="12.75" customHeight="1" x14ac:dyDescent="0.25"/>
    <row r="760" s="4" customFormat="1" ht="12.75" customHeight="1" x14ac:dyDescent="0.25"/>
    <row r="761" s="4" customFormat="1" ht="12.75" customHeight="1" x14ac:dyDescent="0.25"/>
    <row r="762" s="4" customFormat="1" ht="12.75" customHeight="1" x14ac:dyDescent="0.25"/>
    <row r="763" s="4" customFormat="1" ht="12.75" customHeight="1" x14ac:dyDescent="0.25"/>
    <row r="764" s="4" customFormat="1" ht="12.75" customHeight="1" x14ac:dyDescent="0.25"/>
    <row r="765" s="4" customFormat="1" ht="12.75" customHeight="1" x14ac:dyDescent="0.25"/>
    <row r="766" s="4" customFormat="1" ht="12.75" customHeight="1" x14ac:dyDescent="0.25"/>
    <row r="767" s="4" customFormat="1" ht="12.75" customHeight="1" x14ac:dyDescent="0.25"/>
    <row r="768" s="4" customFormat="1" ht="12.75" customHeight="1" x14ac:dyDescent="0.25"/>
    <row r="769" s="4" customFormat="1" ht="12.75" customHeight="1" x14ac:dyDescent="0.25"/>
    <row r="770" s="4" customFormat="1" ht="12.75" customHeight="1" x14ac:dyDescent="0.25"/>
    <row r="771" s="4" customFormat="1" ht="12.75" customHeight="1" x14ac:dyDescent="0.25"/>
    <row r="772" s="4" customFormat="1" ht="12.75" customHeight="1" x14ac:dyDescent="0.25"/>
    <row r="773" s="4" customFormat="1" ht="12.75" customHeight="1" x14ac:dyDescent="0.25"/>
    <row r="774" s="4" customFormat="1" ht="12.75" customHeight="1" x14ac:dyDescent="0.25"/>
    <row r="775" s="4" customFormat="1" ht="12.75" customHeight="1" x14ac:dyDescent="0.25"/>
    <row r="776" s="4" customFormat="1" ht="12.75" customHeight="1" x14ac:dyDescent="0.25"/>
    <row r="777" s="4" customFormat="1" ht="12.75" customHeight="1" x14ac:dyDescent="0.25"/>
    <row r="778" s="4" customFormat="1" ht="12.75" customHeight="1" x14ac:dyDescent="0.25"/>
    <row r="779" s="4" customFormat="1" ht="12.75" customHeight="1" x14ac:dyDescent="0.25"/>
    <row r="780" s="4" customFormat="1" ht="12.75" customHeight="1" x14ac:dyDescent="0.25"/>
    <row r="781" s="4" customFormat="1" ht="12.75" customHeight="1" x14ac:dyDescent="0.25"/>
    <row r="782" s="4" customFormat="1" ht="12.75" customHeight="1" x14ac:dyDescent="0.25"/>
    <row r="783" s="4" customFormat="1" ht="12.75" customHeight="1" x14ac:dyDescent="0.25"/>
    <row r="784" s="4" customFormat="1" ht="12.75" customHeight="1" x14ac:dyDescent="0.25"/>
    <row r="785" s="4" customFormat="1" ht="12.75" customHeight="1" x14ac:dyDescent="0.25"/>
    <row r="786" s="4" customFormat="1" ht="12.75" customHeight="1" x14ac:dyDescent="0.25"/>
    <row r="787" s="4" customFormat="1" ht="12.75" customHeight="1" x14ac:dyDescent="0.25"/>
    <row r="788" s="4" customFormat="1" ht="12.75" customHeight="1" x14ac:dyDescent="0.25"/>
    <row r="789" s="4" customFormat="1" ht="12.75" customHeight="1" x14ac:dyDescent="0.25"/>
    <row r="790" s="4" customFormat="1" ht="12.75" customHeight="1" x14ac:dyDescent="0.25"/>
    <row r="791" s="4" customFormat="1" ht="12.75" customHeight="1" x14ac:dyDescent="0.25"/>
    <row r="792" s="4" customFormat="1" ht="12.75" customHeight="1" x14ac:dyDescent="0.25"/>
    <row r="793" s="4" customFormat="1" ht="12.75" customHeight="1" x14ac:dyDescent="0.25"/>
    <row r="794" s="4" customFormat="1" ht="12.75" customHeight="1" x14ac:dyDescent="0.25"/>
    <row r="795" s="4" customFormat="1" ht="12.75" customHeight="1" x14ac:dyDescent="0.25"/>
    <row r="796" s="4" customFormat="1" ht="12.75" customHeight="1" x14ac:dyDescent="0.25"/>
    <row r="797" s="4" customFormat="1" ht="12.75" customHeight="1" x14ac:dyDescent="0.25"/>
    <row r="798" s="4" customFormat="1" ht="12.75" customHeight="1" x14ac:dyDescent="0.25"/>
    <row r="799" s="4" customFormat="1" ht="12.75" customHeight="1" x14ac:dyDescent="0.25"/>
    <row r="800" s="4" customFormat="1" ht="12.75" customHeight="1" x14ac:dyDescent="0.25"/>
    <row r="801" s="4" customFormat="1" ht="12.75" customHeight="1" x14ac:dyDescent="0.25"/>
    <row r="802" s="4" customFormat="1" ht="12.75" customHeight="1" x14ac:dyDescent="0.25"/>
    <row r="803" s="4" customFormat="1" ht="12.75" customHeight="1" x14ac:dyDescent="0.25"/>
    <row r="804" s="4" customFormat="1" ht="12.75" customHeight="1" x14ac:dyDescent="0.25"/>
    <row r="805" s="4" customFormat="1" ht="12.75" customHeight="1" x14ac:dyDescent="0.25"/>
    <row r="806" s="4" customFormat="1" ht="12.75" customHeight="1" x14ac:dyDescent="0.25"/>
    <row r="807" s="4" customFormat="1" ht="12.75" customHeight="1" x14ac:dyDescent="0.25"/>
    <row r="808" s="4" customFormat="1" ht="12.75" customHeight="1" x14ac:dyDescent="0.25"/>
    <row r="809" s="4" customFormat="1" ht="12.75" customHeight="1" x14ac:dyDescent="0.25"/>
    <row r="810" s="4" customFormat="1" ht="12.75" customHeight="1" x14ac:dyDescent="0.25"/>
    <row r="811" s="4" customFormat="1" ht="12.75" customHeight="1" x14ac:dyDescent="0.25"/>
    <row r="812" s="4" customFormat="1" ht="12.75" customHeight="1" x14ac:dyDescent="0.25"/>
    <row r="813" s="4" customFormat="1" ht="12.75" customHeight="1" x14ac:dyDescent="0.25"/>
    <row r="814" s="4" customFormat="1" ht="12.75" customHeight="1" x14ac:dyDescent="0.25"/>
    <row r="815" s="4" customFormat="1" ht="12.75" customHeight="1" x14ac:dyDescent="0.25"/>
    <row r="816" s="4" customFormat="1" ht="12.75" customHeight="1" x14ac:dyDescent="0.25"/>
    <row r="817" s="4" customFormat="1" ht="12.75" customHeight="1" x14ac:dyDescent="0.25"/>
    <row r="818" s="4" customFormat="1" ht="12.75" customHeight="1" x14ac:dyDescent="0.25"/>
    <row r="819" s="4" customFormat="1" ht="12.75" customHeight="1" x14ac:dyDescent="0.25"/>
    <row r="820" s="4" customFormat="1" ht="12.75" customHeight="1" x14ac:dyDescent="0.25"/>
    <row r="821" s="4" customFormat="1" ht="12.75" customHeight="1" x14ac:dyDescent="0.25"/>
    <row r="822" s="4" customFormat="1" ht="12.75" customHeight="1" x14ac:dyDescent="0.25"/>
    <row r="823" s="4" customFormat="1" ht="12.75" customHeight="1" x14ac:dyDescent="0.25"/>
    <row r="824" s="4" customFormat="1" ht="12.75" customHeight="1" x14ac:dyDescent="0.25"/>
    <row r="825" s="4" customFormat="1" ht="12.75" customHeight="1" x14ac:dyDescent="0.25"/>
    <row r="826" s="4" customFormat="1" ht="12.75" customHeight="1" x14ac:dyDescent="0.25"/>
    <row r="827" s="4" customFormat="1" ht="12.75" customHeight="1" x14ac:dyDescent="0.25"/>
    <row r="828" s="4" customFormat="1" ht="12.75" customHeight="1" x14ac:dyDescent="0.25"/>
    <row r="829" s="4" customFormat="1" ht="12.75" customHeight="1" x14ac:dyDescent="0.25"/>
    <row r="830" s="4" customFormat="1" ht="12.75" customHeight="1" x14ac:dyDescent="0.25"/>
    <row r="831" s="4" customFormat="1" ht="12.75" customHeight="1" x14ac:dyDescent="0.25"/>
    <row r="832" s="4" customFormat="1" ht="12.75" customHeight="1" x14ac:dyDescent="0.25"/>
    <row r="833" s="4" customFormat="1" ht="12.75" customHeight="1" x14ac:dyDescent="0.25"/>
    <row r="834" s="4" customFormat="1" ht="12.75" customHeight="1" x14ac:dyDescent="0.25"/>
    <row r="835" s="4" customFormat="1" ht="12.75" customHeight="1" x14ac:dyDescent="0.25"/>
    <row r="836" s="4" customFormat="1" ht="12.75" customHeight="1" x14ac:dyDescent="0.25"/>
    <row r="837" s="4" customFormat="1" ht="12.75" customHeight="1" x14ac:dyDescent="0.25"/>
    <row r="838" s="4" customFormat="1" ht="12.75" customHeight="1" x14ac:dyDescent="0.25"/>
    <row r="839" s="4" customFormat="1" ht="12.75" customHeight="1" x14ac:dyDescent="0.25"/>
    <row r="840" s="4" customFormat="1" ht="12.75" customHeight="1" x14ac:dyDescent="0.25"/>
    <row r="841" s="4" customFormat="1" ht="12.75" customHeight="1" x14ac:dyDescent="0.25"/>
    <row r="842" s="4" customFormat="1" ht="12.75" customHeight="1" x14ac:dyDescent="0.25"/>
    <row r="843" s="4" customFormat="1" ht="12.75" customHeight="1" x14ac:dyDescent="0.25"/>
    <row r="844" s="4" customFormat="1" ht="12.75" customHeight="1" x14ac:dyDescent="0.25"/>
    <row r="845" s="4" customFormat="1" ht="12.75" customHeight="1" x14ac:dyDescent="0.25"/>
    <row r="846" s="4" customFormat="1" ht="12.75" customHeight="1" x14ac:dyDescent="0.25"/>
    <row r="847" s="4" customFormat="1" ht="12.75" customHeight="1" x14ac:dyDescent="0.25"/>
    <row r="848" s="4" customFormat="1" ht="12.75" customHeight="1" x14ac:dyDescent="0.25"/>
    <row r="849" s="4" customFormat="1" ht="12.75" customHeight="1" x14ac:dyDescent="0.25"/>
    <row r="850" s="4" customFormat="1" ht="12.75" customHeight="1" x14ac:dyDescent="0.25"/>
    <row r="851" s="4" customFormat="1" ht="12.75" customHeight="1" x14ac:dyDescent="0.25"/>
    <row r="852" s="4" customFormat="1" ht="12.75" customHeight="1" x14ac:dyDescent="0.25"/>
    <row r="853" s="4" customFormat="1" ht="12.75" customHeight="1" x14ac:dyDescent="0.25"/>
    <row r="854" s="4" customFormat="1" ht="12.75" customHeight="1" x14ac:dyDescent="0.25"/>
    <row r="855" s="4" customFormat="1" ht="12.75" customHeight="1" x14ac:dyDescent="0.25"/>
    <row r="856" s="4" customFormat="1" ht="12.75" customHeight="1" x14ac:dyDescent="0.25"/>
    <row r="857" s="4" customFormat="1" ht="12.75" customHeight="1" x14ac:dyDescent="0.25"/>
    <row r="858" s="4" customFormat="1" ht="12.75" customHeight="1" x14ac:dyDescent="0.25"/>
    <row r="859" s="4" customFormat="1" ht="12.75" customHeight="1" x14ac:dyDescent="0.25"/>
    <row r="860" s="4" customFormat="1" ht="12.75" customHeight="1" x14ac:dyDescent="0.25"/>
    <row r="861" s="4" customFormat="1" ht="12.75" customHeight="1" x14ac:dyDescent="0.25"/>
    <row r="862" s="4" customFormat="1" ht="12.75" customHeight="1" x14ac:dyDescent="0.25"/>
    <row r="863" s="4" customFormat="1" ht="12.75" customHeight="1" x14ac:dyDescent="0.25"/>
    <row r="864" s="4" customFormat="1" ht="12.75" customHeight="1" x14ac:dyDescent="0.25"/>
    <row r="865" s="4" customFormat="1" ht="12.75" customHeight="1" x14ac:dyDescent="0.25"/>
    <row r="866" s="4" customFormat="1" ht="12.75" customHeight="1" x14ac:dyDescent="0.25"/>
    <row r="867" s="4" customFormat="1" ht="12.75" customHeight="1" x14ac:dyDescent="0.25"/>
    <row r="868" s="4" customFormat="1" ht="12.75" customHeight="1" x14ac:dyDescent="0.25"/>
    <row r="869" s="4" customFormat="1" ht="12.75" customHeight="1" x14ac:dyDescent="0.25"/>
    <row r="870" s="4" customFormat="1" ht="12.75" customHeight="1" x14ac:dyDescent="0.25"/>
    <row r="871" s="4" customFormat="1" ht="12.75" customHeight="1" x14ac:dyDescent="0.25"/>
    <row r="872" s="4" customFormat="1" ht="12.75" customHeight="1" x14ac:dyDescent="0.25"/>
    <row r="873" s="4" customFormat="1" ht="12.75" customHeight="1" x14ac:dyDescent="0.25"/>
    <row r="874" s="4" customFormat="1" ht="12.75" customHeight="1" x14ac:dyDescent="0.25"/>
    <row r="875" s="4" customFormat="1" ht="12.75" customHeight="1" x14ac:dyDescent="0.25"/>
    <row r="876" s="4" customFormat="1" ht="12.75" customHeight="1" x14ac:dyDescent="0.25"/>
    <row r="877" s="4" customFormat="1" ht="12.75" customHeight="1" x14ac:dyDescent="0.25"/>
    <row r="878" s="4" customFormat="1" ht="12.75" customHeight="1" x14ac:dyDescent="0.25"/>
    <row r="879" s="4" customFormat="1" ht="12.75" customHeight="1" x14ac:dyDescent="0.25"/>
    <row r="880" s="4" customFormat="1" ht="12.75" customHeight="1" x14ac:dyDescent="0.25"/>
    <row r="881" s="4" customFormat="1" ht="12.75" customHeight="1" x14ac:dyDescent="0.25"/>
    <row r="882" s="4" customFormat="1" ht="12.75" customHeight="1" x14ac:dyDescent="0.25"/>
    <row r="883" s="4" customFormat="1" ht="12.75" customHeight="1" x14ac:dyDescent="0.25"/>
    <row r="884" s="4" customFormat="1" ht="12.75" customHeight="1" x14ac:dyDescent="0.25"/>
    <row r="885" s="4" customFormat="1" ht="12.75" customHeight="1" x14ac:dyDescent="0.25"/>
    <row r="886" s="4" customFormat="1" ht="12.75" customHeight="1" x14ac:dyDescent="0.25"/>
    <row r="887" s="4" customFormat="1" ht="12.75" customHeight="1" x14ac:dyDescent="0.25"/>
    <row r="888" s="4" customFormat="1" ht="12.75" customHeight="1" x14ac:dyDescent="0.25"/>
    <row r="889" s="4" customFormat="1" ht="12.75" customHeight="1" x14ac:dyDescent="0.25"/>
    <row r="890" s="4" customFormat="1" ht="12.75" customHeight="1" x14ac:dyDescent="0.25"/>
    <row r="891" s="4" customFormat="1" ht="12.75" customHeight="1" x14ac:dyDescent="0.25"/>
    <row r="892" s="4" customFormat="1" ht="12.75" customHeight="1" x14ac:dyDescent="0.25"/>
    <row r="893" s="4" customFormat="1" ht="12.75" customHeight="1" x14ac:dyDescent="0.25"/>
    <row r="894" s="4" customFormat="1" ht="12.75" customHeight="1" x14ac:dyDescent="0.25"/>
    <row r="895" s="4" customFormat="1" ht="12.75" customHeight="1" x14ac:dyDescent="0.25"/>
    <row r="896" s="4" customFormat="1" ht="12.75" customHeight="1" x14ac:dyDescent="0.25"/>
    <row r="897" s="4" customFormat="1" ht="12.75" customHeight="1" x14ac:dyDescent="0.25"/>
    <row r="898" s="4" customFormat="1" ht="12.75" customHeight="1" x14ac:dyDescent="0.25"/>
    <row r="899" s="4" customFormat="1" ht="12.75" customHeight="1" x14ac:dyDescent="0.25"/>
    <row r="900" s="4" customFormat="1" ht="12.75" customHeight="1" x14ac:dyDescent="0.25"/>
    <row r="901" s="4" customFormat="1" ht="12.75" customHeight="1" x14ac:dyDescent="0.25"/>
    <row r="902" s="4" customFormat="1" ht="12.75" customHeight="1" x14ac:dyDescent="0.25"/>
    <row r="903" s="4" customFormat="1" ht="12.75" customHeight="1" x14ac:dyDescent="0.25"/>
    <row r="904" s="4" customFormat="1" ht="12.75" customHeight="1" x14ac:dyDescent="0.25"/>
    <row r="905" s="4" customFormat="1" ht="12.75" customHeight="1" x14ac:dyDescent="0.25"/>
    <row r="906" s="4" customFormat="1" ht="12.75" customHeight="1" x14ac:dyDescent="0.25"/>
    <row r="907" s="4" customFormat="1" ht="12.75" customHeight="1" x14ac:dyDescent="0.25"/>
    <row r="908" s="4" customFormat="1" ht="12.75" customHeight="1" x14ac:dyDescent="0.25"/>
    <row r="909" s="4" customFormat="1" ht="12.75" customHeight="1" x14ac:dyDescent="0.25"/>
    <row r="910" s="4" customFormat="1" ht="12.75" customHeight="1" x14ac:dyDescent="0.25"/>
    <row r="911" s="4" customFormat="1" ht="12.75" customHeight="1" x14ac:dyDescent="0.25"/>
    <row r="912" s="4" customFormat="1" ht="12.75" customHeight="1" x14ac:dyDescent="0.25"/>
    <row r="913" s="4" customFormat="1" ht="12.75" customHeight="1" x14ac:dyDescent="0.25"/>
    <row r="914" s="4" customFormat="1" ht="12.75" customHeight="1" x14ac:dyDescent="0.25"/>
    <row r="915" s="4" customFormat="1" ht="12.75" customHeight="1" x14ac:dyDescent="0.25"/>
    <row r="916" s="4" customFormat="1" ht="12.75" customHeight="1" x14ac:dyDescent="0.25"/>
    <row r="917" s="4" customFormat="1" ht="12.75" customHeight="1" x14ac:dyDescent="0.25"/>
    <row r="918" s="4" customFormat="1" ht="12.75" customHeight="1" x14ac:dyDescent="0.25"/>
    <row r="919" s="4" customFormat="1" ht="12.75" customHeight="1" x14ac:dyDescent="0.25"/>
    <row r="920" s="4" customFormat="1" ht="12.75" customHeight="1" x14ac:dyDescent="0.25"/>
    <row r="921" s="4" customFormat="1" ht="12.75" customHeight="1" x14ac:dyDescent="0.25"/>
    <row r="922" s="4" customFormat="1" ht="12.75" customHeight="1" x14ac:dyDescent="0.25"/>
    <row r="923" s="4" customFormat="1" ht="12.75" customHeight="1" x14ac:dyDescent="0.25"/>
    <row r="924" s="4" customFormat="1" ht="12.75" customHeight="1" x14ac:dyDescent="0.25"/>
    <row r="925" s="4" customFormat="1" ht="12.75" customHeight="1" x14ac:dyDescent="0.25"/>
    <row r="926" s="4" customFormat="1" ht="12.75" customHeight="1" x14ac:dyDescent="0.25"/>
    <row r="927" s="4" customFormat="1" ht="12.75" customHeight="1" x14ac:dyDescent="0.25"/>
    <row r="928" s="4" customFormat="1" ht="12.75" customHeight="1" x14ac:dyDescent="0.25"/>
    <row r="929" s="4" customFormat="1" ht="12.75" customHeight="1" x14ac:dyDescent="0.25"/>
    <row r="930" s="4" customFormat="1" ht="12.75" customHeight="1" x14ac:dyDescent="0.25"/>
    <row r="931" s="4" customFormat="1" ht="12.75" customHeight="1" x14ac:dyDescent="0.25"/>
    <row r="932" s="4" customFormat="1" ht="12.75" customHeight="1" x14ac:dyDescent="0.25"/>
    <row r="933" s="4" customFormat="1" ht="12.75" customHeight="1" x14ac:dyDescent="0.25"/>
    <row r="934" s="4" customFormat="1" ht="12.75" customHeight="1" x14ac:dyDescent="0.25"/>
    <row r="935" s="4" customFormat="1" ht="12.75" customHeight="1" x14ac:dyDescent="0.25"/>
    <row r="936" s="4" customFormat="1" ht="12.75" customHeight="1" x14ac:dyDescent="0.25"/>
    <row r="937" s="4" customFormat="1" ht="12.75" customHeight="1" x14ac:dyDescent="0.25"/>
    <row r="938" s="4" customFormat="1" ht="12.75" customHeight="1" x14ac:dyDescent="0.25"/>
    <row r="939" s="4" customFormat="1" ht="12.75" customHeight="1" x14ac:dyDescent="0.25"/>
    <row r="940" s="4" customFormat="1" ht="12.75" customHeight="1" x14ac:dyDescent="0.25"/>
    <row r="941" s="4" customFormat="1" ht="12.75" customHeight="1" x14ac:dyDescent="0.25"/>
    <row r="942" s="4" customFormat="1" ht="12.75" customHeight="1" x14ac:dyDescent="0.25"/>
    <row r="943" s="4" customFormat="1" ht="12.75" customHeight="1" x14ac:dyDescent="0.25"/>
    <row r="944" s="4" customFormat="1" ht="12.75" customHeight="1" x14ac:dyDescent="0.25"/>
    <row r="945" s="4" customFormat="1" ht="12.75" customHeight="1" x14ac:dyDescent="0.25"/>
    <row r="946" s="4" customFormat="1" ht="12.75" customHeight="1" x14ac:dyDescent="0.25"/>
    <row r="947" s="4" customFormat="1" ht="12.75" customHeight="1" x14ac:dyDescent="0.25"/>
    <row r="948" s="4" customFormat="1" ht="12.75" customHeight="1" x14ac:dyDescent="0.25"/>
    <row r="949" s="4" customFormat="1" ht="12.75" customHeight="1" x14ac:dyDescent="0.25"/>
    <row r="950" s="4" customFormat="1" ht="12.75" customHeight="1" x14ac:dyDescent="0.25"/>
    <row r="951" s="4" customFormat="1" ht="12.75" customHeight="1" x14ac:dyDescent="0.25"/>
    <row r="952" s="4" customFormat="1" ht="12.75" customHeight="1" x14ac:dyDescent="0.25"/>
    <row r="953" s="4" customFormat="1" ht="12.75" customHeight="1" x14ac:dyDescent="0.25"/>
    <row r="954" s="4" customFormat="1" ht="12.75" customHeight="1" x14ac:dyDescent="0.25"/>
    <row r="955" s="4" customFormat="1" ht="12.75" customHeight="1" x14ac:dyDescent="0.25"/>
    <row r="956" s="4" customFormat="1" ht="12.75" customHeight="1" x14ac:dyDescent="0.25"/>
    <row r="957" s="4" customFormat="1" ht="12.75" customHeight="1" x14ac:dyDescent="0.25"/>
    <row r="958" s="4" customFormat="1" ht="12.75" customHeight="1" x14ac:dyDescent="0.25"/>
    <row r="959" s="4" customFormat="1" ht="12.75" customHeight="1" x14ac:dyDescent="0.25"/>
    <row r="960" s="4" customFormat="1" ht="12.75" customHeight="1" x14ac:dyDescent="0.25"/>
    <row r="961" s="4" customFormat="1" ht="12.75" customHeight="1" x14ac:dyDescent="0.25"/>
    <row r="962" s="4" customFormat="1" ht="12.75" customHeight="1" x14ac:dyDescent="0.25"/>
    <row r="963" s="4" customFormat="1" ht="12.75" customHeight="1" x14ac:dyDescent="0.25"/>
    <row r="964" s="4" customFormat="1" ht="12.75" customHeight="1" x14ac:dyDescent="0.25"/>
    <row r="965" s="4" customFormat="1" ht="12.75" customHeight="1" x14ac:dyDescent="0.25"/>
    <row r="966" s="4" customFormat="1" ht="12.75" customHeight="1" x14ac:dyDescent="0.25"/>
    <row r="967" s="4" customFormat="1" ht="12.75" customHeight="1" x14ac:dyDescent="0.25"/>
    <row r="968" s="4" customFormat="1" ht="12.75" customHeight="1" x14ac:dyDescent="0.25"/>
    <row r="969" s="4" customFormat="1" ht="12.75" customHeight="1" x14ac:dyDescent="0.25"/>
    <row r="970" s="4" customFormat="1" ht="12.75" customHeight="1" x14ac:dyDescent="0.25"/>
    <row r="971" s="4" customFormat="1" ht="12.75" customHeight="1" x14ac:dyDescent="0.25"/>
    <row r="972" s="4" customFormat="1" ht="12.75" customHeight="1" x14ac:dyDescent="0.25"/>
    <row r="973" s="4" customFormat="1" ht="12.75" customHeight="1" x14ac:dyDescent="0.25"/>
    <row r="974" s="4" customFormat="1" ht="12.75" customHeight="1" x14ac:dyDescent="0.25"/>
    <row r="975" s="4" customFormat="1" ht="12.75" customHeight="1" x14ac:dyDescent="0.25"/>
    <row r="976" s="4" customFormat="1" ht="12.75" customHeight="1" x14ac:dyDescent="0.25"/>
    <row r="977" s="4" customFormat="1" ht="12.75" customHeight="1" x14ac:dyDescent="0.25"/>
    <row r="978" s="4" customFormat="1" ht="12.75" customHeight="1" x14ac:dyDescent="0.25"/>
    <row r="979" s="4" customFormat="1" ht="12.75" customHeight="1" x14ac:dyDescent="0.25"/>
    <row r="980" s="4" customFormat="1" ht="12.75" customHeight="1" x14ac:dyDescent="0.25"/>
    <row r="981" s="4" customFormat="1" ht="12.75" customHeight="1" x14ac:dyDescent="0.25"/>
    <row r="982" s="4" customFormat="1" ht="12.75" customHeight="1" x14ac:dyDescent="0.25"/>
    <row r="983" s="4" customFormat="1" ht="12.75" customHeight="1" x14ac:dyDescent="0.25"/>
    <row r="984" s="4" customFormat="1" ht="12.75" customHeight="1" x14ac:dyDescent="0.25"/>
    <row r="985" s="4" customFormat="1" ht="12.75" customHeight="1" x14ac:dyDescent="0.25"/>
    <row r="986" s="4" customFormat="1" ht="12.75" customHeight="1" x14ac:dyDescent="0.25"/>
    <row r="987" s="4" customFormat="1" ht="12.75" customHeight="1" x14ac:dyDescent="0.25"/>
    <row r="988" s="4" customFormat="1" ht="12.75" customHeight="1" x14ac:dyDescent="0.25"/>
    <row r="989" s="4" customFormat="1" ht="12.75" customHeight="1" x14ac:dyDescent="0.25"/>
    <row r="990" s="4" customFormat="1" ht="12.75" customHeight="1" x14ac:dyDescent="0.25"/>
    <row r="991" s="4" customFormat="1" ht="12.75" customHeight="1" x14ac:dyDescent="0.25"/>
    <row r="992" s="4" customFormat="1" ht="12.75" customHeight="1" x14ac:dyDescent="0.25"/>
    <row r="993" s="4" customFormat="1" ht="12.75" customHeight="1" x14ac:dyDescent="0.25"/>
    <row r="994" s="4" customFormat="1" ht="12.75" customHeight="1" x14ac:dyDescent="0.25"/>
    <row r="995" s="4" customFormat="1" ht="12.75" customHeight="1" x14ac:dyDescent="0.25"/>
    <row r="996" s="4" customFormat="1" ht="12.75" customHeight="1" x14ac:dyDescent="0.25"/>
    <row r="997" s="4" customFormat="1" ht="12.75" customHeight="1" x14ac:dyDescent="0.25"/>
    <row r="998" s="4" customFormat="1" ht="12.75" customHeight="1" x14ac:dyDescent="0.25"/>
    <row r="999" s="4" customFormat="1" ht="12.75" customHeight="1" x14ac:dyDescent="0.25"/>
    <row r="1000" s="4" customFormat="1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Z1003"/>
  <sheetViews>
    <sheetView workbookViewId="0">
      <selection activeCell="F9" sqref="F9"/>
    </sheetView>
  </sheetViews>
  <sheetFormatPr defaultColWidth="14.42578125" defaultRowHeight="15" customHeight="1" x14ac:dyDescent="0.25"/>
  <cols>
    <col min="1" max="1" width="6.85546875" style="4" customWidth="1"/>
    <col min="2" max="2" width="32.42578125" style="4" customWidth="1"/>
    <col min="3" max="3" width="13.42578125" style="4" customWidth="1"/>
    <col min="4" max="5" width="13.28515625" style="4" customWidth="1"/>
    <col min="6" max="6" width="13.42578125" style="4" customWidth="1"/>
    <col min="7" max="8" width="13.28515625" style="4" customWidth="1"/>
    <col min="9" max="9" width="13.140625" style="4" customWidth="1"/>
    <col min="10" max="10" width="13.5703125" style="4" customWidth="1"/>
    <col min="11" max="26" width="8.7109375" style="4" customWidth="1"/>
    <col min="27" max="16384" width="14.42578125" style="4"/>
  </cols>
  <sheetData>
    <row r="1" spans="1:26" ht="21" customHeight="1" x14ac:dyDescent="0.25">
      <c r="A1" s="35" t="s">
        <v>69</v>
      </c>
      <c r="B1" s="36"/>
      <c r="C1" s="36"/>
      <c r="D1" s="36"/>
      <c r="E1" s="36"/>
      <c r="F1" s="36"/>
      <c r="G1" s="36"/>
      <c r="H1" s="36"/>
      <c r="I1" s="36"/>
      <c r="J1" s="36"/>
    </row>
    <row r="2" spans="1:26" ht="12.75" customHeight="1" x14ac:dyDescent="0.25">
      <c r="A2" s="37"/>
      <c r="B2" s="37"/>
      <c r="C2" s="38"/>
      <c r="D2" s="38"/>
      <c r="E2" s="38"/>
      <c r="F2" s="38"/>
      <c r="G2" s="38"/>
      <c r="H2" s="38"/>
      <c r="I2" s="38"/>
      <c r="J2" s="38"/>
    </row>
    <row r="3" spans="1:26" ht="42.75" customHeight="1" x14ac:dyDescent="0.25">
      <c r="A3" s="9" t="s">
        <v>70</v>
      </c>
      <c r="B3" s="9" t="s">
        <v>71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72</v>
      </c>
      <c r="H3" s="9" t="s">
        <v>73</v>
      </c>
      <c r="I3" s="9" t="s">
        <v>74</v>
      </c>
      <c r="J3" s="9" t="s">
        <v>75</v>
      </c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4.75" customHeight="1" x14ac:dyDescent="0.25">
      <c r="A4" s="10">
        <v>1</v>
      </c>
      <c r="B4" s="11" t="e">
        <f>[1]Login!C2</f>
        <v>#REF!</v>
      </c>
      <c r="C4" s="12" t="e">
        <f>[1]Login!B4</f>
        <v>#REF!</v>
      </c>
      <c r="D4" s="12" t="e">
        <f>[1]Login!C4</f>
        <v>#REF!</v>
      </c>
      <c r="E4" s="12" t="e">
        <f>[1]Login!D4</f>
        <v>#REF!</v>
      </c>
      <c r="F4" s="12" t="e">
        <f>[1]Login!E4</f>
        <v>#REF!</v>
      </c>
      <c r="G4" s="12" t="e">
        <f>[1]Login!F4</f>
        <v>#REF!</v>
      </c>
      <c r="H4" s="12" t="e">
        <f>[1]Login!G4</f>
        <v>#REF!</v>
      </c>
      <c r="I4" s="13" t="e">
        <f>C4/H4</f>
        <v>#REF!</v>
      </c>
      <c r="J4" s="13" t="e">
        <f>D4/H4</f>
        <v>#REF!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24.75" customHeight="1" x14ac:dyDescent="0.25">
      <c r="A5" s="10">
        <f>A4+1</f>
        <v>2</v>
      </c>
      <c r="B5" s="11"/>
      <c r="C5" s="12"/>
      <c r="D5" s="12"/>
      <c r="E5" s="12"/>
      <c r="F5" s="12"/>
      <c r="G5" s="12"/>
      <c r="H5" s="12"/>
      <c r="I5" s="13"/>
      <c r="J5" s="13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24.75" customHeight="1" x14ac:dyDescent="0.25">
      <c r="A6" s="10">
        <f>A5+1</f>
        <v>3</v>
      </c>
      <c r="B6" s="11"/>
      <c r="C6" s="12"/>
      <c r="D6" s="12"/>
      <c r="E6" s="12"/>
      <c r="F6" s="12"/>
      <c r="G6" s="12"/>
      <c r="H6" s="12"/>
      <c r="I6" s="13"/>
      <c r="J6" s="13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24.75" customHeight="1" x14ac:dyDescent="0.25">
      <c r="A7" s="10">
        <f>A6+1</f>
        <v>4</v>
      </c>
      <c r="B7" s="11"/>
      <c r="C7" s="12"/>
      <c r="D7" s="12"/>
      <c r="E7" s="12"/>
      <c r="F7" s="12"/>
      <c r="G7" s="12"/>
      <c r="H7" s="12"/>
      <c r="I7" s="13"/>
      <c r="J7" s="13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25.5" customHeight="1" x14ac:dyDescent="0.25">
      <c r="A8" s="10">
        <f>A7+1</f>
        <v>5</v>
      </c>
      <c r="B8" s="11"/>
      <c r="C8" s="12"/>
      <c r="D8" s="12"/>
      <c r="E8" s="12"/>
      <c r="F8" s="12"/>
      <c r="G8" s="12"/>
      <c r="H8" s="12"/>
      <c r="I8" s="13"/>
      <c r="J8" s="13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24.75" customHeight="1" x14ac:dyDescent="0.25">
      <c r="A9" s="10">
        <f>A8+1</f>
        <v>6</v>
      </c>
      <c r="B9" s="11"/>
      <c r="C9" s="12"/>
      <c r="D9" s="12"/>
      <c r="E9" s="12"/>
      <c r="F9" s="12"/>
      <c r="G9" s="12"/>
      <c r="H9" s="12"/>
      <c r="I9" s="13"/>
      <c r="J9" s="13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24.75" customHeight="1" x14ac:dyDescent="0.25">
      <c r="A10" s="16" t="s">
        <v>76</v>
      </c>
      <c r="B10" s="40"/>
      <c r="C10" s="14"/>
      <c r="D10" s="14"/>
      <c r="E10" s="14"/>
      <c r="F10" s="14"/>
      <c r="G10" s="14"/>
      <c r="H10" s="14" t="e">
        <f>SUM(H4:H9)</f>
        <v>#REF!</v>
      </c>
      <c r="I10" s="15"/>
      <c r="J10" s="1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2.75" customHeight="1" x14ac:dyDescent="0.25"/>
    <row r="12" spans="1:26" ht="12.75" customHeight="1" x14ac:dyDescent="0.25"/>
    <row r="13" spans="1:26" ht="12.75" customHeight="1" x14ac:dyDescent="0.25"/>
    <row r="14" spans="1:26" ht="12.75" customHeight="1" x14ac:dyDescent="0.25"/>
    <row r="15" spans="1:26" ht="12.75" customHeight="1" x14ac:dyDescent="0.25"/>
    <row r="16" spans="1:26" ht="12.75" customHeight="1" x14ac:dyDescent="0.25"/>
    <row r="17" s="4" customFormat="1" ht="12.75" customHeight="1" x14ac:dyDescent="0.25"/>
    <row r="18" s="4" customFormat="1" ht="12.75" customHeight="1" x14ac:dyDescent="0.25"/>
    <row r="19" s="4" customFormat="1" ht="12.75" customHeight="1" x14ac:dyDescent="0.25"/>
    <row r="20" s="4" customFormat="1" ht="12.75" customHeight="1" x14ac:dyDescent="0.25"/>
    <row r="21" s="4" customFormat="1" ht="12.75" customHeight="1" x14ac:dyDescent="0.25"/>
    <row r="22" s="4" customFormat="1" ht="12.75" customHeight="1" x14ac:dyDescent="0.25"/>
    <row r="23" s="4" customFormat="1" ht="12.75" customHeight="1" x14ac:dyDescent="0.25"/>
    <row r="24" s="4" customFormat="1" ht="12.75" customHeight="1" x14ac:dyDescent="0.25"/>
    <row r="25" s="4" customFormat="1" ht="12.75" customHeight="1" x14ac:dyDescent="0.25"/>
    <row r="26" s="4" customFormat="1" ht="12.75" customHeight="1" x14ac:dyDescent="0.25"/>
    <row r="27" s="4" customFormat="1" ht="12.75" customHeight="1" x14ac:dyDescent="0.25"/>
    <row r="28" s="4" customFormat="1" ht="12.75" customHeight="1" x14ac:dyDescent="0.25"/>
    <row r="29" s="4" customFormat="1" ht="12.75" customHeight="1" x14ac:dyDescent="0.25"/>
    <row r="30" s="4" customFormat="1" ht="12.75" customHeight="1" x14ac:dyDescent="0.25"/>
    <row r="31" s="4" customFormat="1" ht="12.75" customHeight="1" x14ac:dyDescent="0.25"/>
    <row r="32" s="4" customFormat="1" ht="12.75" customHeight="1" x14ac:dyDescent="0.25"/>
    <row r="33" s="4" customFormat="1" ht="12.75" customHeight="1" x14ac:dyDescent="0.25"/>
    <row r="34" s="4" customFormat="1" ht="12.75" customHeight="1" x14ac:dyDescent="0.25"/>
    <row r="35" s="4" customFormat="1" ht="12.75" customHeight="1" x14ac:dyDescent="0.25"/>
    <row r="36" s="4" customFormat="1" ht="12.75" customHeight="1" x14ac:dyDescent="0.25"/>
    <row r="37" s="4" customFormat="1" ht="12.75" customHeight="1" x14ac:dyDescent="0.25"/>
    <row r="38" s="4" customFormat="1" ht="12.75" customHeight="1" x14ac:dyDescent="0.25"/>
    <row r="39" s="4" customFormat="1" ht="12.75" customHeight="1" x14ac:dyDescent="0.25"/>
    <row r="40" s="4" customFormat="1" ht="12.75" customHeight="1" x14ac:dyDescent="0.25"/>
    <row r="41" s="4" customFormat="1" ht="12.75" customHeight="1" x14ac:dyDescent="0.25"/>
    <row r="42" s="4" customFormat="1" ht="12.75" customHeight="1" x14ac:dyDescent="0.25"/>
    <row r="43" s="4" customFormat="1" ht="12.75" customHeight="1" x14ac:dyDescent="0.25"/>
    <row r="44" s="4" customFormat="1" ht="12.75" customHeight="1" x14ac:dyDescent="0.25"/>
    <row r="45" s="4" customFormat="1" ht="12.75" customHeight="1" x14ac:dyDescent="0.25"/>
    <row r="46" s="4" customFormat="1" ht="12.75" customHeight="1" x14ac:dyDescent="0.25"/>
    <row r="47" s="4" customFormat="1" ht="12.75" customHeight="1" x14ac:dyDescent="0.25"/>
    <row r="48" s="4" customFormat="1" ht="12.75" customHeight="1" x14ac:dyDescent="0.25"/>
    <row r="49" s="4" customFormat="1" ht="12.75" customHeight="1" x14ac:dyDescent="0.25"/>
    <row r="50" s="4" customFormat="1" ht="12.75" customHeight="1" x14ac:dyDescent="0.25"/>
    <row r="51" s="4" customFormat="1" ht="12.75" customHeight="1" x14ac:dyDescent="0.25"/>
    <row r="52" s="4" customFormat="1" ht="12.75" customHeight="1" x14ac:dyDescent="0.25"/>
    <row r="53" s="4" customFormat="1" ht="12.75" customHeight="1" x14ac:dyDescent="0.25"/>
    <row r="54" s="4" customFormat="1" ht="12.75" customHeight="1" x14ac:dyDescent="0.25"/>
    <row r="55" s="4" customFormat="1" ht="12.75" customHeight="1" x14ac:dyDescent="0.25"/>
    <row r="56" s="4" customFormat="1" ht="12.75" customHeight="1" x14ac:dyDescent="0.25"/>
    <row r="57" s="4" customFormat="1" ht="12.75" customHeight="1" x14ac:dyDescent="0.25"/>
    <row r="58" s="4" customFormat="1" ht="12.75" customHeight="1" x14ac:dyDescent="0.25"/>
    <row r="59" s="4" customFormat="1" ht="12.75" customHeight="1" x14ac:dyDescent="0.25"/>
    <row r="60" s="4" customFormat="1" ht="12.75" customHeight="1" x14ac:dyDescent="0.25"/>
    <row r="61" s="4" customFormat="1" ht="12.75" customHeight="1" x14ac:dyDescent="0.25"/>
    <row r="62" s="4" customFormat="1" ht="12.75" customHeight="1" x14ac:dyDescent="0.25"/>
    <row r="63" s="4" customFormat="1" ht="12.75" customHeight="1" x14ac:dyDescent="0.25"/>
    <row r="64" s="4" customFormat="1" ht="12.75" customHeight="1" x14ac:dyDescent="0.25"/>
    <row r="65" s="4" customFormat="1" ht="12.75" customHeight="1" x14ac:dyDescent="0.25"/>
    <row r="66" s="4" customFormat="1" ht="12.75" customHeight="1" x14ac:dyDescent="0.25"/>
    <row r="67" s="4" customFormat="1" ht="12.75" customHeight="1" x14ac:dyDescent="0.25"/>
    <row r="68" s="4" customFormat="1" ht="12.75" customHeight="1" x14ac:dyDescent="0.25"/>
    <row r="69" s="4" customFormat="1" ht="12.75" customHeight="1" x14ac:dyDescent="0.25"/>
    <row r="70" s="4" customFormat="1" ht="12.75" customHeight="1" x14ac:dyDescent="0.25"/>
    <row r="71" s="4" customFormat="1" ht="12.75" customHeight="1" x14ac:dyDescent="0.25"/>
    <row r="72" s="4" customFormat="1" ht="12.75" customHeight="1" x14ac:dyDescent="0.25"/>
    <row r="73" s="4" customFormat="1" ht="12.75" customHeight="1" x14ac:dyDescent="0.25"/>
    <row r="74" s="4" customFormat="1" ht="12.75" customHeight="1" x14ac:dyDescent="0.25"/>
    <row r="75" s="4" customFormat="1" ht="12.75" customHeight="1" x14ac:dyDescent="0.25"/>
    <row r="76" s="4" customFormat="1" ht="12.75" customHeight="1" x14ac:dyDescent="0.25"/>
    <row r="77" s="4" customFormat="1" ht="12.75" customHeight="1" x14ac:dyDescent="0.25"/>
    <row r="78" s="4" customFormat="1" ht="12.75" customHeight="1" x14ac:dyDescent="0.25"/>
    <row r="79" s="4" customFormat="1" ht="12.75" customHeight="1" x14ac:dyDescent="0.25"/>
    <row r="80" s="4" customFormat="1" ht="12.75" customHeight="1" x14ac:dyDescent="0.25"/>
    <row r="81" s="4" customFormat="1" ht="12.75" customHeight="1" x14ac:dyDescent="0.25"/>
    <row r="82" s="4" customFormat="1" ht="12.75" customHeight="1" x14ac:dyDescent="0.25"/>
    <row r="83" s="4" customFormat="1" ht="12.75" customHeight="1" x14ac:dyDescent="0.25"/>
    <row r="84" s="4" customFormat="1" ht="12.75" customHeight="1" x14ac:dyDescent="0.25"/>
    <row r="85" s="4" customFormat="1" ht="12.75" customHeight="1" x14ac:dyDescent="0.25"/>
    <row r="86" s="4" customFormat="1" ht="12.75" customHeight="1" x14ac:dyDescent="0.25"/>
    <row r="87" s="4" customFormat="1" ht="12.75" customHeight="1" x14ac:dyDescent="0.25"/>
    <row r="88" s="4" customFormat="1" ht="12.75" customHeight="1" x14ac:dyDescent="0.25"/>
    <row r="89" s="4" customFormat="1" ht="12.75" customHeight="1" x14ac:dyDescent="0.25"/>
    <row r="90" s="4" customFormat="1" ht="12.75" customHeight="1" x14ac:dyDescent="0.25"/>
    <row r="91" s="4" customFormat="1" ht="12.75" customHeight="1" x14ac:dyDescent="0.25"/>
    <row r="92" s="4" customFormat="1" ht="12.75" customHeight="1" x14ac:dyDescent="0.25"/>
    <row r="93" s="4" customFormat="1" ht="12.75" customHeight="1" x14ac:dyDescent="0.25"/>
    <row r="94" s="4" customFormat="1" ht="12.75" customHeight="1" x14ac:dyDescent="0.25"/>
    <row r="95" s="4" customFormat="1" ht="12.75" customHeight="1" x14ac:dyDescent="0.25"/>
    <row r="96" s="4" customFormat="1" ht="12.75" customHeight="1" x14ac:dyDescent="0.25"/>
    <row r="97" s="4" customFormat="1" ht="12.75" customHeight="1" x14ac:dyDescent="0.25"/>
    <row r="98" s="4" customFormat="1" ht="12.75" customHeight="1" x14ac:dyDescent="0.25"/>
    <row r="99" s="4" customFormat="1" ht="12.75" customHeight="1" x14ac:dyDescent="0.25"/>
    <row r="100" s="4" customFormat="1" ht="12.75" customHeight="1" x14ac:dyDescent="0.25"/>
    <row r="101" s="4" customFormat="1" ht="12.75" customHeight="1" x14ac:dyDescent="0.25"/>
    <row r="102" s="4" customFormat="1" ht="12.75" customHeight="1" x14ac:dyDescent="0.25"/>
    <row r="103" s="4" customFormat="1" ht="12.75" customHeight="1" x14ac:dyDescent="0.25"/>
    <row r="104" s="4" customFormat="1" ht="12.75" customHeight="1" x14ac:dyDescent="0.25"/>
    <row r="105" s="4" customFormat="1" ht="12.75" customHeight="1" x14ac:dyDescent="0.25"/>
    <row r="106" s="4" customFormat="1" ht="12.75" customHeight="1" x14ac:dyDescent="0.25"/>
    <row r="107" s="4" customFormat="1" ht="12.75" customHeight="1" x14ac:dyDescent="0.25"/>
    <row r="108" s="4" customFormat="1" ht="12.75" customHeight="1" x14ac:dyDescent="0.25"/>
    <row r="109" s="4" customFormat="1" ht="12.75" customHeight="1" x14ac:dyDescent="0.25"/>
    <row r="110" s="4" customFormat="1" ht="12.75" customHeight="1" x14ac:dyDescent="0.25"/>
    <row r="111" s="4" customFormat="1" ht="12.75" customHeight="1" x14ac:dyDescent="0.25"/>
    <row r="112" s="4" customFormat="1" ht="12.75" customHeight="1" x14ac:dyDescent="0.25"/>
    <row r="113" s="4" customFormat="1" ht="12.75" customHeight="1" x14ac:dyDescent="0.25"/>
    <row r="114" s="4" customFormat="1" ht="12.75" customHeight="1" x14ac:dyDescent="0.25"/>
    <row r="115" s="4" customFormat="1" ht="12.75" customHeight="1" x14ac:dyDescent="0.25"/>
    <row r="116" s="4" customFormat="1" ht="12.75" customHeight="1" x14ac:dyDescent="0.25"/>
    <row r="117" s="4" customFormat="1" ht="12.75" customHeight="1" x14ac:dyDescent="0.25"/>
    <row r="118" s="4" customFormat="1" ht="12.75" customHeight="1" x14ac:dyDescent="0.25"/>
    <row r="119" s="4" customFormat="1" ht="12.75" customHeight="1" x14ac:dyDescent="0.25"/>
    <row r="120" s="4" customFormat="1" ht="12.75" customHeight="1" x14ac:dyDescent="0.25"/>
    <row r="121" s="4" customFormat="1" ht="12.75" customHeight="1" x14ac:dyDescent="0.25"/>
    <row r="122" s="4" customFormat="1" ht="12.75" customHeight="1" x14ac:dyDescent="0.25"/>
    <row r="123" s="4" customFormat="1" ht="12.75" customHeight="1" x14ac:dyDescent="0.25"/>
    <row r="124" s="4" customFormat="1" ht="12.75" customHeight="1" x14ac:dyDescent="0.25"/>
    <row r="125" s="4" customFormat="1" ht="12.75" customHeight="1" x14ac:dyDescent="0.25"/>
    <row r="126" s="4" customFormat="1" ht="12.75" customHeight="1" x14ac:dyDescent="0.25"/>
    <row r="127" s="4" customFormat="1" ht="12.75" customHeight="1" x14ac:dyDescent="0.25"/>
    <row r="128" s="4" customFormat="1" ht="12.75" customHeight="1" x14ac:dyDescent="0.25"/>
    <row r="129" s="4" customFormat="1" ht="12.75" customHeight="1" x14ac:dyDescent="0.25"/>
    <row r="130" s="4" customFormat="1" ht="12.75" customHeight="1" x14ac:dyDescent="0.25"/>
    <row r="131" s="4" customFormat="1" ht="12.75" customHeight="1" x14ac:dyDescent="0.25"/>
    <row r="132" s="4" customFormat="1" ht="12.75" customHeight="1" x14ac:dyDescent="0.25"/>
    <row r="133" s="4" customFormat="1" ht="12.75" customHeight="1" x14ac:dyDescent="0.25"/>
    <row r="134" s="4" customFormat="1" ht="12.75" customHeight="1" x14ac:dyDescent="0.25"/>
    <row r="135" s="4" customFormat="1" ht="12.75" customHeight="1" x14ac:dyDescent="0.25"/>
    <row r="136" s="4" customFormat="1" ht="12.75" customHeight="1" x14ac:dyDescent="0.25"/>
    <row r="137" s="4" customFormat="1" ht="12.75" customHeight="1" x14ac:dyDescent="0.25"/>
    <row r="138" s="4" customFormat="1" ht="12.75" customHeight="1" x14ac:dyDescent="0.25"/>
    <row r="139" s="4" customFormat="1" ht="12.75" customHeight="1" x14ac:dyDescent="0.25"/>
    <row r="140" s="4" customFormat="1" ht="12.75" customHeight="1" x14ac:dyDescent="0.25"/>
    <row r="141" s="4" customFormat="1" ht="12.75" customHeight="1" x14ac:dyDescent="0.25"/>
    <row r="142" s="4" customFormat="1" ht="12.75" customHeight="1" x14ac:dyDescent="0.25"/>
    <row r="143" s="4" customFormat="1" ht="12.75" customHeight="1" x14ac:dyDescent="0.25"/>
    <row r="144" s="4" customFormat="1" ht="12.75" customHeight="1" x14ac:dyDescent="0.25"/>
    <row r="145" s="4" customFormat="1" ht="12.75" customHeight="1" x14ac:dyDescent="0.25"/>
    <row r="146" s="4" customFormat="1" ht="12.75" customHeight="1" x14ac:dyDescent="0.25"/>
    <row r="147" s="4" customFormat="1" ht="12.75" customHeight="1" x14ac:dyDescent="0.25"/>
    <row r="148" s="4" customFormat="1" ht="12.75" customHeight="1" x14ac:dyDescent="0.25"/>
    <row r="149" s="4" customFormat="1" ht="12.75" customHeight="1" x14ac:dyDescent="0.25"/>
    <row r="150" s="4" customFormat="1" ht="12.75" customHeight="1" x14ac:dyDescent="0.25"/>
    <row r="151" s="4" customFormat="1" ht="12.75" customHeight="1" x14ac:dyDescent="0.25"/>
    <row r="152" s="4" customFormat="1" ht="12.75" customHeight="1" x14ac:dyDescent="0.25"/>
    <row r="153" s="4" customFormat="1" ht="12.75" customHeight="1" x14ac:dyDescent="0.25"/>
    <row r="154" s="4" customFormat="1" ht="12.75" customHeight="1" x14ac:dyDescent="0.25"/>
    <row r="155" s="4" customFormat="1" ht="12.75" customHeight="1" x14ac:dyDescent="0.25"/>
    <row r="156" s="4" customFormat="1" ht="12.75" customHeight="1" x14ac:dyDescent="0.25"/>
    <row r="157" s="4" customFormat="1" ht="12.75" customHeight="1" x14ac:dyDescent="0.25"/>
    <row r="158" s="4" customFormat="1" ht="12.75" customHeight="1" x14ac:dyDescent="0.25"/>
    <row r="159" s="4" customFormat="1" ht="12.75" customHeight="1" x14ac:dyDescent="0.25"/>
    <row r="160" s="4" customFormat="1" ht="12.75" customHeight="1" x14ac:dyDescent="0.25"/>
    <row r="161" s="4" customFormat="1" ht="12.75" customHeight="1" x14ac:dyDescent="0.25"/>
    <row r="162" s="4" customFormat="1" ht="12.75" customHeight="1" x14ac:dyDescent="0.25"/>
    <row r="163" s="4" customFormat="1" ht="12.75" customHeight="1" x14ac:dyDescent="0.25"/>
    <row r="164" s="4" customFormat="1" ht="12.75" customHeight="1" x14ac:dyDescent="0.25"/>
    <row r="165" s="4" customFormat="1" ht="12.75" customHeight="1" x14ac:dyDescent="0.25"/>
    <row r="166" s="4" customFormat="1" ht="12.75" customHeight="1" x14ac:dyDescent="0.25"/>
    <row r="167" s="4" customFormat="1" ht="12.75" customHeight="1" x14ac:dyDescent="0.25"/>
    <row r="168" s="4" customFormat="1" ht="12.75" customHeight="1" x14ac:dyDescent="0.25"/>
    <row r="169" s="4" customFormat="1" ht="12.75" customHeight="1" x14ac:dyDescent="0.25"/>
    <row r="170" s="4" customFormat="1" ht="12.75" customHeight="1" x14ac:dyDescent="0.25"/>
    <row r="171" s="4" customFormat="1" ht="12.75" customHeight="1" x14ac:dyDescent="0.25"/>
    <row r="172" s="4" customFormat="1" ht="12.75" customHeight="1" x14ac:dyDescent="0.25"/>
    <row r="173" s="4" customFormat="1" ht="12.75" customHeight="1" x14ac:dyDescent="0.25"/>
    <row r="174" s="4" customFormat="1" ht="12.75" customHeight="1" x14ac:dyDescent="0.25"/>
    <row r="175" s="4" customFormat="1" ht="12.75" customHeight="1" x14ac:dyDescent="0.25"/>
    <row r="176" s="4" customFormat="1" ht="12.75" customHeight="1" x14ac:dyDescent="0.25"/>
    <row r="177" s="4" customFormat="1" ht="12.75" customHeight="1" x14ac:dyDescent="0.25"/>
    <row r="178" s="4" customFormat="1" ht="12.75" customHeight="1" x14ac:dyDescent="0.25"/>
    <row r="179" s="4" customFormat="1" ht="12.75" customHeight="1" x14ac:dyDescent="0.25"/>
    <row r="180" s="4" customFormat="1" ht="12.75" customHeight="1" x14ac:dyDescent="0.25"/>
    <row r="181" s="4" customFormat="1" ht="12.75" customHeight="1" x14ac:dyDescent="0.25"/>
    <row r="182" s="4" customFormat="1" ht="12.75" customHeight="1" x14ac:dyDescent="0.25"/>
    <row r="183" s="4" customFormat="1" ht="12.75" customHeight="1" x14ac:dyDescent="0.25"/>
    <row r="184" s="4" customFormat="1" ht="12.75" customHeight="1" x14ac:dyDescent="0.25"/>
    <row r="185" s="4" customFormat="1" ht="12.75" customHeight="1" x14ac:dyDescent="0.25"/>
    <row r="186" s="4" customFormat="1" ht="12.75" customHeight="1" x14ac:dyDescent="0.25"/>
    <row r="187" s="4" customFormat="1" ht="12.75" customHeight="1" x14ac:dyDescent="0.25"/>
    <row r="188" s="4" customFormat="1" ht="12.75" customHeight="1" x14ac:dyDescent="0.25"/>
    <row r="189" s="4" customFormat="1" ht="12.75" customHeight="1" x14ac:dyDescent="0.25"/>
    <row r="190" s="4" customFormat="1" ht="12.75" customHeight="1" x14ac:dyDescent="0.25"/>
    <row r="191" s="4" customFormat="1" ht="12.75" customHeight="1" x14ac:dyDescent="0.25"/>
    <row r="192" s="4" customFormat="1" ht="12.75" customHeight="1" x14ac:dyDescent="0.25"/>
    <row r="193" s="4" customFormat="1" ht="12.75" customHeight="1" x14ac:dyDescent="0.25"/>
    <row r="194" s="4" customFormat="1" ht="12.75" customHeight="1" x14ac:dyDescent="0.25"/>
    <row r="195" s="4" customFormat="1" ht="12.75" customHeight="1" x14ac:dyDescent="0.25"/>
    <row r="196" s="4" customFormat="1" ht="12.75" customHeight="1" x14ac:dyDescent="0.25"/>
    <row r="197" s="4" customFormat="1" ht="12.75" customHeight="1" x14ac:dyDescent="0.25"/>
    <row r="198" s="4" customFormat="1" ht="12.75" customHeight="1" x14ac:dyDescent="0.25"/>
    <row r="199" s="4" customFormat="1" ht="12.75" customHeight="1" x14ac:dyDescent="0.25"/>
    <row r="200" s="4" customFormat="1" ht="12.75" customHeight="1" x14ac:dyDescent="0.25"/>
    <row r="201" s="4" customFormat="1" ht="12.75" customHeight="1" x14ac:dyDescent="0.25"/>
    <row r="202" s="4" customFormat="1" ht="12.75" customHeight="1" x14ac:dyDescent="0.25"/>
    <row r="203" s="4" customFormat="1" ht="12.75" customHeight="1" x14ac:dyDescent="0.25"/>
    <row r="204" s="4" customFormat="1" ht="12.75" customHeight="1" x14ac:dyDescent="0.25"/>
    <row r="205" s="4" customFormat="1" ht="12.75" customHeight="1" x14ac:dyDescent="0.25"/>
    <row r="206" s="4" customFormat="1" ht="12.75" customHeight="1" x14ac:dyDescent="0.25"/>
    <row r="207" s="4" customFormat="1" ht="12.75" customHeight="1" x14ac:dyDescent="0.25"/>
    <row r="208" s="4" customFormat="1" ht="12.75" customHeight="1" x14ac:dyDescent="0.25"/>
    <row r="209" s="4" customFormat="1" ht="12.75" customHeight="1" x14ac:dyDescent="0.25"/>
    <row r="210" s="4" customFormat="1" ht="12.75" customHeight="1" x14ac:dyDescent="0.25"/>
    <row r="211" s="4" customFormat="1" ht="12.75" customHeight="1" x14ac:dyDescent="0.25"/>
    <row r="212" s="4" customFormat="1" ht="12.75" customHeight="1" x14ac:dyDescent="0.25"/>
    <row r="213" s="4" customFormat="1" ht="12.75" customHeight="1" x14ac:dyDescent="0.25"/>
    <row r="214" s="4" customFormat="1" ht="12.75" customHeight="1" x14ac:dyDescent="0.25"/>
    <row r="215" s="4" customFormat="1" ht="12.75" customHeight="1" x14ac:dyDescent="0.25"/>
    <row r="216" s="4" customFormat="1" ht="12.75" customHeight="1" x14ac:dyDescent="0.25"/>
    <row r="217" s="4" customFormat="1" ht="12.75" customHeight="1" x14ac:dyDescent="0.25"/>
    <row r="218" s="4" customFormat="1" ht="12.75" customHeight="1" x14ac:dyDescent="0.25"/>
    <row r="219" s="4" customFormat="1" ht="12.75" customHeight="1" x14ac:dyDescent="0.25"/>
    <row r="220" s="4" customFormat="1" ht="12.75" customHeight="1" x14ac:dyDescent="0.25"/>
    <row r="221" s="4" customFormat="1" ht="12.75" customHeight="1" x14ac:dyDescent="0.25"/>
    <row r="222" s="4" customFormat="1" ht="12.75" customHeight="1" x14ac:dyDescent="0.25"/>
    <row r="223" s="4" customFormat="1" ht="12.75" customHeight="1" x14ac:dyDescent="0.25"/>
    <row r="224" s="4" customFormat="1" ht="12.75" customHeight="1" x14ac:dyDescent="0.25"/>
    <row r="225" s="4" customFormat="1" ht="12.75" customHeight="1" x14ac:dyDescent="0.25"/>
    <row r="226" s="4" customFormat="1" ht="12.75" customHeight="1" x14ac:dyDescent="0.25"/>
    <row r="227" s="4" customFormat="1" ht="12.75" customHeight="1" x14ac:dyDescent="0.25"/>
    <row r="228" s="4" customFormat="1" ht="12.75" customHeight="1" x14ac:dyDescent="0.25"/>
    <row r="229" s="4" customFormat="1" ht="12.75" customHeight="1" x14ac:dyDescent="0.25"/>
    <row r="230" s="4" customFormat="1" ht="12.75" customHeight="1" x14ac:dyDescent="0.25"/>
    <row r="231" s="4" customFormat="1" ht="12.75" customHeight="1" x14ac:dyDescent="0.25"/>
    <row r="232" s="4" customFormat="1" ht="12.75" customHeight="1" x14ac:dyDescent="0.25"/>
    <row r="233" s="4" customFormat="1" ht="12.75" customHeight="1" x14ac:dyDescent="0.25"/>
    <row r="234" s="4" customFormat="1" ht="12.75" customHeight="1" x14ac:dyDescent="0.25"/>
    <row r="235" s="4" customFormat="1" ht="12.75" customHeight="1" x14ac:dyDescent="0.25"/>
    <row r="236" s="4" customFormat="1" ht="12.75" customHeight="1" x14ac:dyDescent="0.25"/>
    <row r="237" s="4" customFormat="1" ht="12.75" customHeight="1" x14ac:dyDescent="0.25"/>
    <row r="238" s="4" customFormat="1" ht="12.75" customHeight="1" x14ac:dyDescent="0.25"/>
    <row r="239" s="4" customFormat="1" ht="12.75" customHeight="1" x14ac:dyDescent="0.25"/>
    <row r="240" s="4" customFormat="1" ht="12.75" customHeight="1" x14ac:dyDescent="0.25"/>
    <row r="241" s="4" customFormat="1" ht="12.75" customHeight="1" x14ac:dyDescent="0.25"/>
    <row r="242" s="4" customFormat="1" ht="12.75" customHeight="1" x14ac:dyDescent="0.25"/>
    <row r="243" s="4" customFormat="1" ht="12.75" customHeight="1" x14ac:dyDescent="0.25"/>
    <row r="244" s="4" customFormat="1" ht="12.75" customHeight="1" x14ac:dyDescent="0.25"/>
    <row r="245" s="4" customFormat="1" ht="12.75" customHeight="1" x14ac:dyDescent="0.25"/>
    <row r="246" s="4" customFormat="1" ht="12.75" customHeight="1" x14ac:dyDescent="0.25"/>
    <row r="247" s="4" customFormat="1" ht="12.75" customHeight="1" x14ac:dyDescent="0.25"/>
    <row r="248" s="4" customFormat="1" ht="12.75" customHeight="1" x14ac:dyDescent="0.25"/>
    <row r="249" s="4" customFormat="1" ht="12.75" customHeight="1" x14ac:dyDescent="0.25"/>
    <row r="250" s="4" customFormat="1" ht="12.75" customHeight="1" x14ac:dyDescent="0.25"/>
    <row r="251" s="4" customFormat="1" ht="12.75" customHeight="1" x14ac:dyDescent="0.25"/>
    <row r="252" s="4" customFormat="1" ht="12.75" customHeight="1" x14ac:dyDescent="0.25"/>
    <row r="253" s="4" customFormat="1" ht="12.75" customHeight="1" x14ac:dyDescent="0.25"/>
    <row r="254" s="4" customFormat="1" ht="12.75" customHeight="1" x14ac:dyDescent="0.25"/>
    <row r="255" s="4" customFormat="1" ht="12.75" customHeight="1" x14ac:dyDescent="0.25"/>
    <row r="256" s="4" customFormat="1" ht="12.75" customHeight="1" x14ac:dyDescent="0.25"/>
    <row r="257" s="4" customFormat="1" ht="12.75" customHeight="1" x14ac:dyDescent="0.25"/>
    <row r="258" s="4" customFormat="1" ht="12.75" customHeight="1" x14ac:dyDescent="0.25"/>
    <row r="259" s="4" customFormat="1" ht="12.75" customHeight="1" x14ac:dyDescent="0.25"/>
    <row r="260" s="4" customFormat="1" ht="12.75" customHeight="1" x14ac:dyDescent="0.25"/>
    <row r="261" s="4" customFormat="1" ht="12.75" customHeight="1" x14ac:dyDescent="0.25"/>
    <row r="262" s="4" customFormat="1" ht="12.75" customHeight="1" x14ac:dyDescent="0.25"/>
    <row r="263" s="4" customFormat="1" ht="12.75" customHeight="1" x14ac:dyDescent="0.25"/>
    <row r="264" s="4" customFormat="1" ht="12.75" customHeight="1" x14ac:dyDescent="0.25"/>
    <row r="265" s="4" customFormat="1" ht="12.75" customHeight="1" x14ac:dyDescent="0.25"/>
    <row r="266" s="4" customFormat="1" ht="12.75" customHeight="1" x14ac:dyDescent="0.25"/>
    <row r="267" s="4" customFormat="1" ht="12.75" customHeight="1" x14ac:dyDescent="0.25"/>
    <row r="268" s="4" customFormat="1" ht="12.75" customHeight="1" x14ac:dyDescent="0.25"/>
    <row r="269" s="4" customFormat="1" ht="12.75" customHeight="1" x14ac:dyDescent="0.25"/>
    <row r="270" s="4" customFormat="1" ht="12.75" customHeight="1" x14ac:dyDescent="0.25"/>
    <row r="271" s="4" customFormat="1" ht="12.75" customHeight="1" x14ac:dyDescent="0.25"/>
    <row r="272" s="4" customFormat="1" ht="12.75" customHeight="1" x14ac:dyDescent="0.25"/>
    <row r="273" s="4" customFormat="1" ht="12.75" customHeight="1" x14ac:dyDescent="0.25"/>
    <row r="274" s="4" customFormat="1" ht="12.75" customHeight="1" x14ac:dyDescent="0.25"/>
    <row r="275" s="4" customFormat="1" ht="12.75" customHeight="1" x14ac:dyDescent="0.25"/>
    <row r="276" s="4" customFormat="1" ht="12.75" customHeight="1" x14ac:dyDescent="0.25"/>
    <row r="277" s="4" customFormat="1" ht="12.75" customHeight="1" x14ac:dyDescent="0.25"/>
    <row r="278" s="4" customFormat="1" ht="12.75" customHeight="1" x14ac:dyDescent="0.25"/>
    <row r="279" s="4" customFormat="1" ht="12.75" customHeight="1" x14ac:dyDescent="0.25"/>
    <row r="280" s="4" customFormat="1" ht="12.75" customHeight="1" x14ac:dyDescent="0.25"/>
    <row r="281" s="4" customFormat="1" ht="12.75" customHeight="1" x14ac:dyDescent="0.25"/>
    <row r="282" s="4" customFormat="1" ht="12.75" customHeight="1" x14ac:dyDescent="0.25"/>
    <row r="283" s="4" customFormat="1" ht="12.75" customHeight="1" x14ac:dyDescent="0.25"/>
    <row r="284" s="4" customFormat="1" ht="12.75" customHeight="1" x14ac:dyDescent="0.25"/>
    <row r="285" s="4" customFormat="1" ht="12.75" customHeight="1" x14ac:dyDescent="0.25"/>
    <row r="286" s="4" customFormat="1" ht="12.75" customHeight="1" x14ac:dyDescent="0.25"/>
    <row r="287" s="4" customFormat="1" ht="12.75" customHeight="1" x14ac:dyDescent="0.25"/>
    <row r="288" s="4" customFormat="1" ht="12.75" customHeight="1" x14ac:dyDescent="0.25"/>
    <row r="289" s="4" customFormat="1" ht="12.75" customHeight="1" x14ac:dyDescent="0.25"/>
    <row r="290" s="4" customFormat="1" ht="12.75" customHeight="1" x14ac:dyDescent="0.25"/>
    <row r="291" s="4" customFormat="1" ht="12.75" customHeight="1" x14ac:dyDescent="0.25"/>
    <row r="292" s="4" customFormat="1" ht="12.75" customHeight="1" x14ac:dyDescent="0.25"/>
    <row r="293" s="4" customFormat="1" ht="12.75" customHeight="1" x14ac:dyDescent="0.25"/>
    <row r="294" s="4" customFormat="1" ht="12.75" customHeight="1" x14ac:dyDescent="0.25"/>
    <row r="295" s="4" customFormat="1" ht="12.75" customHeight="1" x14ac:dyDescent="0.25"/>
    <row r="296" s="4" customFormat="1" ht="12.75" customHeight="1" x14ac:dyDescent="0.25"/>
    <row r="297" s="4" customFormat="1" ht="12.75" customHeight="1" x14ac:dyDescent="0.25"/>
    <row r="298" s="4" customFormat="1" ht="12.75" customHeight="1" x14ac:dyDescent="0.25"/>
    <row r="299" s="4" customFormat="1" ht="12.75" customHeight="1" x14ac:dyDescent="0.25"/>
    <row r="300" s="4" customFormat="1" ht="12.75" customHeight="1" x14ac:dyDescent="0.25"/>
    <row r="301" s="4" customFormat="1" ht="12.75" customHeight="1" x14ac:dyDescent="0.25"/>
    <row r="302" s="4" customFormat="1" ht="12.75" customHeight="1" x14ac:dyDescent="0.25"/>
    <row r="303" s="4" customFormat="1" ht="12.75" customHeight="1" x14ac:dyDescent="0.25"/>
    <row r="304" s="4" customFormat="1" ht="12.75" customHeight="1" x14ac:dyDescent="0.25"/>
    <row r="305" s="4" customFormat="1" ht="12.75" customHeight="1" x14ac:dyDescent="0.25"/>
    <row r="306" s="4" customFormat="1" ht="12.75" customHeight="1" x14ac:dyDescent="0.25"/>
    <row r="307" s="4" customFormat="1" ht="12.75" customHeight="1" x14ac:dyDescent="0.25"/>
    <row r="308" s="4" customFormat="1" ht="12.75" customHeight="1" x14ac:dyDescent="0.25"/>
    <row r="309" s="4" customFormat="1" ht="12.75" customHeight="1" x14ac:dyDescent="0.25"/>
    <row r="310" s="4" customFormat="1" ht="12.75" customHeight="1" x14ac:dyDescent="0.25"/>
    <row r="311" s="4" customFormat="1" ht="12.75" customHeight="1" x14ac:dyDescent="0.25"/>
    <row r="312" s="4" customFormat="1" ht="12.75" customHeight="1" x14ac:dyDescent="0.25"/>
    <row r="313" s="4" customFormat="1" ht="12.75" customHeight="1" x14ac:dyDescent="0.25"/>
    <row r="314" s="4" customFormat="1" ht="12.75" customHeight="1" x14ac:dyDescent="0.25"/>
    <row r="315" s="4" customFormat="1" ht="12.75" customHeight="1" x14ac:dyDescent="0.25"/>
    <row r="316" s="4" customFormat="1" ht="12.75" customHeight="1" x14ac:dyDescent="0.25"/>
    <row r="317" s="4" customFormat="1" ht="12.75" customHeight="1" x14ac:dyDescent="0.25"/>
    <row r="318" s="4" customFormat="1" ht="12.75" customHeight="1" x14ac:dyDescent="0.25"/>
    <row r="319" s="4" customFormat="1" ht="12.75" customHeight="1" x14ac:dyDescent="0.25"/>
    <row r="320" s="4" customFormat="1" ht="12.75" customHeight="1" x14ac:dyDescent="0.25"/>
    <row r="321" s="4" customFormat="1" ht="12.75" customHeight="1" x14ac:dyDescent="0.25"/>
    <row r="322" s="4" customFormat="1" ht="12.75" customHeight="1" x14ac:dyDescent="0.25"/>
    <row r="323" s="4" customFormat="1" ht="12.75" customHeight="1" x14ac:dyDescent="0.25"/>
    <row r="324" s="4" customFormat="1" ht="12.75" customHeight="1" x14ac:dyDescent="0.25"/>
    <row r="325" s="4" customFormat="1" ht="12.75" customHeight="1" x14ac:dyDescent="0.25"/>
    <row r="326" s="4" customFormat="1" ht="12.75" customHeight="1" x14ac:dyDescent="0.25"/>
    <row r="327" s="4" customFormat="1" ht="12.75" customHeight="1" x14ac:dyDescent="0.25"/>
    <row r="328" s="4" customFormat="1" ht="12.75" customHeight="1" x14ac:dyDescent="0.25"/>
    <row r="329" s="4" customFormat="1" ht="12.75" customHeight="1" x14ac:dyDescent="0.25"/>
    <row r="330" s="4" customFormat="1" ht="12.75" customHeight="1" x14ac:dyDescent="0.25"/>
    <row r="331" s="4" customFormat="1" ht="12.75" customHeight="1" x14ac:dyDescent="0.25"/>
    <row r="332" s="4" customFormat="1" ht="12.75" customHeight="1" x14ac:dyDescent="0.25"/>
    <row r="333" s="4" customFormat="1" ht="12.75" customHeight="1" x14ac:dyDescent="0.25"/>
    <row r="334" s="4" customFormat="1" ht="12.75" customHeight="1" x14ac:dyDescent="0.25"/>
    <row r="335" s="4" customFormat="1" ht="12.75" customHeight="1" x14ac:dyDescent="0.25"/>
    <row r="336" s="4" customFormat="1" ht="12.75" customHeight="1" x14ac:dyDescent="0.25"/>
    <row r="337" s="4" customFormat="1" ht="12.75" customHeight="1" x14ac:dyDescent="0.25"/>
    <row r="338" s="4" customFormat="1" ht="12.75" customHeight="1" x14ac:dyDescent="0.25"/>
    <row r="339" s="4" customFormat="1" ht="12.75" customHeight="1" x14ac:dyDescent="0.25"/>
    <row r="340" s="4" customFormat="1" ht="12.75" customHeight="1" x14ac:dyDescent="0.25"/>
    <row r="341" s="4" customFormat="1" ht="12.75" customHeight="1" x14ac:dyDescent="0.25"/>
    <row r="342" s="4" customFormat="1" ht="12.75" customHeight="1" x14ac:dyDescent="0.25"/>
    <row r="343" s="4" customFormat="1" ht="12.75" customHeight="1" x14ac:dyDescent="0.25"/>
    <row r="344" s="4" customFormat="1" ht="12.75" customHeight="1" x14ac:dyDescent="0.25"/>
    <row r="345" s="4" customFormat="1" ht="12.75" customHeight="1" x14ac:dyDescent="0.25"/>
    <row r="346" s="4" customFormat="1" ht="12.75" customHeight="1" x14ac:dyDescent="0.25"/>
    <row r="347" s="4" customFormat="1" ht="12.75" customHeight="1" x14ac:dyDescent="0.25"/>
    <row r="348" s="4" customFormat="1" ht="12.75" customHeight="1" x14ac:dyDescent="0.25"/>
    <row r="349" s="4" customFormat="1" ht="12.75" customHeight="1" x14ac:dyDescent="0.25"/>
    <row r="350" s="4" customFormat="1" ht="12.75" customHeight="1" x14ac:dyDescent="0.25"/>
    <row r="351" s="4" customFormat="1" ht="12.75" customHeight="1" x14ac:dyDescent="0.25"/>
    <row r="352" s="4" customFormat="1" ht="12.75" customHeight="1" x14ac:dyDescent="0.25"/>
    <row r="353" s="4" customFormat="1" ht="12.75" customHeight="1" x14ac:dyDescent="0.25"/>
    <row r="354" s="4" customFormat="1" ht="12.75" customHeight="1" x14ac:dyDescent="0.25"/>
    <row r="355" s="4" customFormat="1" ht="12.75" customHeight="1" x14ac:dyDescent="0.25"/>
    <row r="356" s="4" customFormat="1" ht="12.75" customHeight="1" x14ac:dyDescent="0.25"/>
    <row r="357" s="4" customFormat="1" ht="12.75" customHeight="1" x14ac:dyDescent="0.25"/>
    <row r="358" s="4" customFormat="1" ht="12.75" customHeight="1" x14ac:dyDescent="0.25"/>
    <row r="359" s="4" customFormat="1" ht="12.75" customHeight="1" x14ac:dyDescent="0.25"/>
    <row r="360" s="4" customFormat="1" ht="12.75" customHeight="1" x14ac:dyDescent="0.25"/>
    <row r="361" s="4" customFormat="1" ht="12.75" customHeight="1" x14ac:dyDescent="0.25"/>
    <row r="362" s="4" customFormat="1" ht="12.75" customHeight="1" x14ac:dyDescent="0.25"/>
    <row r="363" s="4" customFormat="1" ht="12.75" customHeight="1" x14ac:dyDescent="0.25"/>
    <row r="364" s="4" customFormat="1" ht="12.75" customHeight="1" x14ac:dyDescent="0.25"/>
    <row r="365" s="4" customFormat="1" ht="12.75" customHeight="1" x14ac:dyDescent="0.25"/>
    <row r="366" s="4" customFormat="1" ht="12.75" customHeight="1" x14ac:dyDescent="0.25"/>
    <row r="367" s="4" customFormat="1" ht="12.75" customHeight="1" x14ac:dyDescent="0.25"/>
    <row r="368" s="4" customFormat="1" ht="12.75" customHeight="1" x14ac:dyDescent="0.25"/>
    <row r="369" s="4" customFormat="1" ht="12.75" customHeight="1" x14ac:dyDescent="0.25"/>
    <row r="370" s="4" customFormat="1" ht="12.75" customHeight="1" x14ac:dyDescent="0.25"/>
    <row r="371" s="4" customFormat="1" ht="12.75" customHeight="1" x14ac:dyDescent="0.25"/>
    <row r="372" s="4" customFormat="1" ht="12.75" customHeight="1" x14ac:dyDescent="0.25"/>
    <row r="373" s="4" customFormat="1" ht="12.75" customHeight="1" x14ac:dyDescent="0.25"/>
    <row r="374" s="4" customFormat="1" ht="12.75" customHeight="1" x14ac:dyDescent="0.25"/>
    <row r="375" s="4" customFormat="1" ht="12.75" customHeight="1" x14ac:dyDescent="0.25"/>
    <row r="376" s="4" customFormat="1" ht="12.75" customHeight="1" x14ac:dyDescent="0.25"/>
    <row r="377" s="4" customFormat="1" ht="12.75" customHeight="1" x14ac:dyDescent="0.25"/>
    <row r="378" s="4" customFormat="1" ht="12.75" customHeight="1" x14ac:dyDescent="0.25"/>
    <row r="379" s="4" customFormat="1" ht="12.75" customHeight="1" x14ac:dyDescent="0.25"/>
    <row r="380" s="4" customFormat="1" ht="12.75" customHeight="1" x14ac:dyDescent="0.25"/>
    <row r="381" s="4" customFormat="1" ht="12.75" customHeight="1" x14ac:dyDescent="0.25"/>
    <row r="382" s="4" customFormat="1" ht="12.75" customHeight="1" x14ac:dyDescent="0.25"/>
    <row r="383" s="4" customFormat="1" ht="12.75" customHeight="1" x14ac:dyDescent="0.25"/>
    <row r="384" s="4" customFormat="1" ht="12.75" customHeight="1" x14ac:dyDescent="0.25"/>
    <row r="385" s="4" customFormat="1" ht="12.75" customHeight="1" x14ac:dyDescent="0.25"/>
    <row r="386" s="4" customFormat="1" ht="12.75" customHeight="1" x14ac:dyDescent="0.25"/>
    <row r="387" s="4" customFormat="1" ht="12.75" customHeight="1" x14ac:dyDescent="0.25"/>
    <row r="388" s="4" customFormat="1" ht="12.75" customHeight="1" x14ac:dyDescent="0.25"/>
    <row r="389" s="4" customFormat="1" ht="12.75" customHeight="1" x14ac:dyDescent="0.25"/>
    <row r="390" s="4" customFormat="1" ht="12.75" customHeight="1" x14ac:dyDescent="0.25"/>
    <row r="391" s="4" customFormat="1" ht="12.75" customHeight="1" x14ac:dyDescent="0.25"/>
    <row r="392" s="4" customFormat="1" ht="12.75" customHeight="1" x14ac:dyDescent="0.25"/>
    <row r="393" s="4" customFormat="1" ht="12.75" customHeight="1" x14ac:dyDescent="0.25"/>
    <row r="394" s="4" customFormat="1" ht="12.75" customHeight="1" x14ac:dyDescent="0.25"/>
    <row r="395" s="4" customFormat="1" ht="12.75" customHeight="1" x14ac:dyDescent="0.25"/>
    <row r="396" s="4" customFormat="1" ht="12.75" customHeight="1" x14ac:dyDescent="0.25"/>
    <row r="397" s="4" customFormat="1" ht="12.75" customHeight="1" x14ac:dyDescent="0.25"/>
    <row r="398" s="4" customFormat="1" ht="12.75" customHeight="1" x14ac:dyDescent="0.25"/>
    <row r="399" s="4" customFormat="1" ht="12.75" customHeight="1" x14ac:dyDescent="0.25"/>
    <row r="400" s="4" customFormat="1" ht="12.75" customHeight="1" x14ac:dyDescent="0.25"/>
    <row r="401" s="4" customFormat="1" ht="12.75" customHeight="1" x14ac:dyDescent="0.25"/>
    <row r="402" s="4" customFormat="1" ht="12.75" customHeight="1" x14ac:dyDescent="0.25"/>
    <row r="403" s="4" customFormat="1" ht="12.75" customHeight="1" x14ac:dyDescent="0.25"/>
    <row r="404" s="4" customFormat="1" ht="12.75" customHeight="1" x14ac:dyDescent="0.25"/>
    <row r="405" s="4" customFormat="1" ht="12.75" customHeight="1" x14ac:dyDescent="0.25"/>
    <row r="406" s="4" customFormat="1" ht="12.75" customHeight="1" x14ac:dyDescent="0.25"/>
    <row r="407" s="4" customFormat="1" ht="12.75" customHeight="1" x14ac:dyDescent="0.25"/>
    <row r="408" s="4" customFormat="1" ht="12.75" customHeight="1" x14ac:dyDescent="0.25"/>
    <row r="409" s="4" customFormat="1" ht="12.75" customHeight="1" x14ac:dyDescent="0.25"/>
    <row r="410" s="4" customFormat="1" ht="12.75" customHeight="1" x14ac:dyDescent="0.25"/>
    <row r="411" s="4" customFormat="1" ht="12.75" customHeight="1" x14ac:dyDescent="0.25"/>
    <row r="412" s="4" customFormat="1" ht="12.75" customHeight="1" x14ac:dyDescent="0.25"/>
    <row r="413" s="4" customFormat="1" ht="12.75" customHeight="1" x14ac:dyDescent="0.25"/>
    <row r="414" s="4" customFormat="1" ht="12.75" customHeight="1" x14ac:dyDescent="0.25"/>
    <row r="415" s="4" customFormat="1" ht="12.75" customHeight="1" x14ac:dyDescent="0.25"/>
    <row r="416" s="4" customFormat="1" ht="12.75" customHeight="1" x14ac:dyDescent="0.25"/>
    <row r="417" s="4" customFormat="1" ht="12.75" customHeight="1" x14ac:dyDescent="0.25"/>
    <row r="418" s="4" customFormat="1" ht="12.75" customHeight="1" x14ac:dyDescent="0.25"/>
    <row r="419" s="4" customFormat="1" ht="12.75" customHeight="1" x14ac:dyDescent="0.25"/>
    <row r="420" s="4" customFormat="1" ht="12.75" customHeight="1" x14ac:dyDescent="0.25"/>
    <row r="421" s="4" customFormat="1" ht="12.75" customHeight="1" x14ac:dyDescent="0.25"/>
    <row r="422" s="4" customFormat="1" ht="12.75" customHeight="1" x14ac:dyDescent="0.25"/>
    <row r="423" s="4" customFormat="1" ht="12.75" customHeight="1" x14ac:dyDescent="0.25"/>
    <row r="424" s="4" customFormat="1" ht="12.75" customHeight="1" x14ac:dyDescent="0.25"/>
    <row r="425" s="4" customFormat="1" ht="12.75" customHeight="1" x14ac:dyDescent="0.25"/>
    <row r="426" s="4" customFormat="1" ht="12.75" customHeight="1" x14ac:dyDescent="0.25"/>
    <row r="427" s="4" customFormat="1" ht="12.75" customHeight="1" x14ac:dyDescent="0.25"/>
    <row r="428" s="4" customFormat="1" ht="12.75" customHeight="1" x14ac:dyDescent="0.25"/>
    <row r="429" s="4" customFormat="1" ht="12.75" customHeight="1" x14ac:dyDescent="0.25"/>
    <row r="430" s="4" customFormat="1" ht="12.75" customHeight="1" x14ac:dyDescent="0.25"/>
    <row r="431" s="4" customFormat="1" ht="12.75" customHeight="1" x14ac:dyDescent="0.25"/>
    <row r="432" s="4" customFormat="1" ht="12.75" customHeight="1" x14ac:dyDescent="0.25"/>
    <row r="433" s="4" customFormat="1" ht="12.75" customHeight="1" x14ac:dyDescent="0.25"/>
    <row r="434" s="4" customFormat="1" ht="12.75" customHeight="1" x14ac:dyDescent="0.25"/>
    <row r="435" s="4" customFormat="1" ht="12.75" customHeight="1" x14ac:dyDescent="0.25"/>
    <row r="436" s="4" customFormat="1" ht="12.75" customHeight="1" x14ac:dyDescent="0.25"/>
    <row r="437" s="4" customFormat="1" ht="12.75" customHeight="1" x14ac:dyDescent="0.25"/>
    <row r="438" s="4" customFormat="1" ht="12.75" customHeight="1" x14ac:dyDescent="0.25"/>
    <row r="439" s="4" customFormat="1" ht="12.75" customHeight="1" x14ac:dyDescent="0.25"/>
    <row r="440" s="4" customFormat="1" ht="12.75" customHeight="1" x14ac:dyDescent="0.25"/>
    <row r="441" s="4" customFormat="1" ht="12.75" customHeight="1" x14ac:dyDescent="0.25"/>
    <row r="442" s="4" customFormat="1" ht="12.75" customHeight="1" x14ac:dyDescent="0.25"/>
    <row r="443" s="4" customFormat="1" ht="12.75" customHeight="1" x14ac:dyDescent="0.25"/>
    <row r="444" s="4" customFormat="1" ht="12.75" customHeight="1" x14ac:dyDescent="0.25"/>
    <row r="445" s="4" customFormat="1" ht="12.75" customHeight="1" x14ac:dyDescent="0.25"/>
    <row r="446" s="4" customFormat="1" ht="12.75" customHeight="1" x14ac:dyDescent="0.25"/>
    <row r="447" s="4" customFormat="1" ht="12.75" customHeight="1" x14ac:dyDescent="0.25"/>
    <row r="448" s="4" customFormat="1" ht="12.75" customHeight="1" x14ac:dyDescent="0.25"/>
    <row r="449" s="4" customFormat="1" ht="12.75" customHeight="1" x14ac:dyDescent="0.25"/>
    <row r="450" s="4" customFormat="1" ht="12.75" customHeight="1" x14ac:dyDescent="0.25"/>
    <row r="451" s="4" customFormat="1" ht="12.75" customHeight="1" x14ac:dyDescent="0.25"/>
    <row r="452" s="4" customFormat="1" ht="12.75" customHeight="1" x14ac:dyDescent="0.25"/>
    <row r="453" s="4" customFormat="1" ht="12.75" customHeight="1" x14ac:dyDescent="0.25"/>
    <row r="454" s="4" customFormat="1" ht="12.75" customHeight="1" x14ac:dyDescent="0.25"/>
    <row r="455" s="4" customFormat="1" ht="12.75" customHeight="1" x14ac:dyDescent="0.25"/>
    <row r="456" s="4" customFormat="1" ht="12.75" customHeight="1" x14ac:dyDescent="0.25"/>
    <row r="457" s="4" customFormat="1" ht="12.75" customHeight="1" x14ac:dyDescent="0.25"/>
    <row r="458" s="4" customFormat="1" ht="12.75" customHeight="1" x14ac:dyDescent="0.25"/>
    <row r="459" s="4" customFormat="1" ht="12.75" customHeight="1" x14ac:dyDescent="0.25"/>
    <row r="460" s="4" customFormat="1" ht="12.75" customHeight="1" x14ac:dyDescent="0.25"/>
    <row r="461" s="4" customFormat="1" ht="12.75" customHeight="1" x14ac:dyDescent="0.25"/>
    <row r="462" s="4" customFormat="1" ht="12.75" customHeight="1" x14ac:dyDescent="0.25"/>
    <row r="463" s="4" customFormat="1" ht="12.75" customHeight="1" x14ac:dyDescent="0.25"/>
    <row r="464" s="4" customFormat="1" ht="12.75" customHeight="1" x14ac:dyDescent="0.25"/>
    <row r="465" s="4" customFormat="1" ht="12.75" customHeight="1" x14ac:dyDescent="0.25"/>
    <row r="466" s="4" customFormat="1" ht="12.75" customHeight="1" x14ac:dyDescent="0.25"/>
    <row r="467" s="4" customFormat="1" ht="12.75" customHeight="1" x14ac:dyDescent="0.25"/>
    <row r="468" s="4" customFormat="1" ht="12.75" customHeight="1" x14ac:dyDescent="0.25"/>
    <row r="469" s="4" customFormat="1" ht="12.75" customHeight="1" x14ac:dyDescent="0.25"/>
    <row r="470" s="4" customFormat="1" ht="12.75" customHeight="1" x14ac:dyDescent="0.25"/>
    <row r="471" s="4" customFormat="1" ht="12.75" customHeight="1" x14ac:dyDescent="0.25"/>
    <row r="472" s="4" customFormat="1" ht="12.75" customHeight="1" x14ac:dyDescent="0.25"/>
    <row r="473" s="4" customFormat="1" ht="12.75" customHeight="1" x14ac:dyDescent="0.25"/>
    <row r="474" s="4" customFormat="1" ht="12.75" customHeight="1" x14ac:dyDescent="0.25"/>
    <row r="475" s="4" customFormat="1" ht="12.75" customHeight="1" x14ac:dyDescent="0.25"/>
    <row r="476" s="4" customFormat="1" ht="12.75" customHeight="1" x14ac:dyDescent="0.25"/>
    <row r="477" s="4" customFormat="1" ht="12.75" customHeight="1" x14ac:dyDescent="0.25"/>
    <row r="478" s="4" customFormat="1" ht="12.75" customHeight="1" x14ac:dyDescent="0.25"/>
    <row r="479" s="4" customFormat="1" ht="12.75" customHeight="1" x14ac:dyDescent="0.25"/>
    <row r="480" s="4" customFormat="1" ht="12.75" customHeight="1" x14ac:dyDescent="0.25"/>
    <row r="481" s="4" customFormat="1" ht="12.75" customHeight="1" x14ac:dyDescent="0.25"/>
    <row r="482" s="4" customFormat="1" ht="12.75" customHeight="1" x14ac:dyDescent="0.25"/>
    <row r="483" s="4" customFormat="1" ht="12.75" customHeight="1" x14ac:dyDescent="0.25"/>
    <row r="484" s="4" customFormat="1" ht="12.75" customHeight="1" x14ac:dyDescent="0.25"/>
    <row r="485" s="4" customFormat="1" ht="12.75" customHeight="1" x14ac:dyDescent="0.25"/>
    <row r="486" s="4" customFormat="1" ht="12.75" customHeight="1" x14ac:dyDescent="0.25"/>
    <row r="487" s="4" customFormat="1" ht="12.75" customHeight="1" x14ac:dyDescent="0.25"/>
    <row r="488" s="4" customFormat="1" ht="12.75" customHeight="1" x14ac:dyDescent="0.25"/>
    <row r="489" s="4" customFormat="1" ht="12.75" customHeight="1" x14ac:dyDescent="0.25"/>
    <row r="490" s="4" customFormat="1" ht="12.75" customHeight="1" x14ac:dyDescent="0.25"/>
    <row r="491" s="4" customFormat="1" ht="12.75" customHeight="1" x14ac:dyDescent="0.25"/>
    <row r="492" s="4" customFormat="1" ht="12.75" customHeight="1" x14ac:dyDescent="0.25"/>
    <row r="493" s="4" customFormat="1" ht="12.75" customHeight="1" x14ac:dyDescent="0.25"/>
    <row r="494" s="4" customFormat="1" ht="12.75" customHeight="1" x14ac:dyDescent="0.25"/>
    <row r="495" s="4" customFormat="1" ht="12.75" customHeight="1" x14ac:dyDescent="0.25"/>
    <row r="496" s="4" customFormat="1" ht="12.75" customHeight="1" x14ac:dyDescent="0.25"/>
    <row r="497" s="4" customFormat="1" ht="12.75" customHeight="1" x14ac:dyDescent="0.25"/>
    <row r="498" s="4" customFormat="1" ht="12.75" customHeight="1" x14ac:dyDescent="0.25"/>
    <row r="499" s="4" customFormat="1" ht="12.75" customHeight="1" x14ac:dyDescent="0.25"/>
    <row r="500" s="4" customFormat="1" ht="12.75" customHeight="1" x14ac:dyDescent="0.25"/>
    <row r="501" s="4" customFormat="1" ht="12.75" customHeight="1" x14ac:dyDescent="0.25"/>
    <row r="502" s="4" customFormat="1" ht="12.75" customHeight="1" x14ac:dyDescent="0.25"/>
    <row r="503" s="4" customFormat="1" ht="12.75" customHeight="1" x14ac:dyDescent="0.25"/>
    <row r="504" s="4" customFormat="1" ht="12.75" customHeight="1" x14ac:dyDescent="0.25"/>
    <row r="505" s="4" customFormat="1" ht="12.75" customHeight="1" x14ac:dyDescent="0.25"/>
    <row r="506" s="4" customFormat="1" ht="12.75" customHeight="1" x14ac:dyDescent="0.25"/>
    <row r="507" s="4" customFormat="1" ht="12.75" customHeight="1" x14ac:dyDescent="0.25"/>
    <row r="508" s="4" customFormat="1" ht="12.75" customHeight="1" x14ac:dyDescent="0.25"/>
    <row r="509" s="4" customFormat="1" ht="12.75" customHeight="1" x14ac:dyDescent="0.25"/>
    <row r="510" s="4" customFormat="1" ht="12.75" customHeight="1" x14ac:dyDescent="0.25"/>
    <row r="511" s="4" customFormat="1" ht="12.75" customHeight="1" x14ac:dyDescent="0.25"/>
    <row r="512" s="4" customFormat="1" ht="12.75" customHeight="1" x14ac:dyDescent="0.25"/>
    <row r="513" s="4" customFormat="1" ht="12.75" customHeight="1" x14ac:dyDescent="0.25"/>
    <row r="514" s="4" customFormat="1" ht="12.75" customHeight="1" x14ac:dyDescent="0.25"/>
    <row r="515" s="4" customFormat="1" ht="12.75" customHeight="1" x14ac:dyDescent="0.25"/>
    <row r="516" s="4" customFormat="1" ht="12.75" customHeight="1" x14ac:dyDescent="0.25"/>
    <row r="517" s="4" customFormat="1" ht="12.75" customHeight="1" x14ac:dyDescent="0.25"/>
    <row r="518" s="4" customFormat="1" ht="12.75" customHeight="1" x14ac:dyDescent="0.25"/>
    <row r="519" s="4" customFormat="1" ht="12.75" customHeight="1" x14ac:dyDescent="0.25"/>
    <row r="520" s="4" customFormat="1" ht="12.75" customHeight="1" x14ac:dyDescent="0.25"/>
    <row r="521" s="4" customFormat="1" ht="12.75" customHeight="1" x14ac:dyDescent="0.25"/>
    <row r="522" s="4" customFormat="1" ht="12.75" customHeight="1" x14ac:dyDescent="0.25"/>
    <row r="523" s="4" customFormat="1" ht="12.75" customHeight="1" x14ac:dyDescent="0.25"/>
    <row r="524" s="4" customFormat="1" ht="12.75" customHeight="1" x14ac:dyDescent="0.25"/>
    <row r="525" s="4" customFormat="1" ht="12.75" customHeight="1" x14ac:dyDescent="0.25"/>
    <row r="526" s="4" customFormat="1" ht="12.75" customHeight="1" x14ac:dyDescent="0.25"/>
    <row r="527" s="4" customFormat="1" ht="12.75" customHeight="1" x14ac:dyDescent="0.25"/>
    <row r="528" s="4" customFormat="1" ht="12.75" customHeight="1" x14ac:dyDescent="0.25"/>
    <row r="529" s="4" customFormat="1" ht="12.75" customHeight="1" x14ac:dyDescent="0.25"/>
    <row r="530" s="4" customFormat="1" ht="12.75" customHeight="1" x14ac:dyDescent="0.25"/>
    <row r="531" s="4" customFormat="1" ht="12.75" customHeight="1" x14ac:dyDescent="0.25"/>
    <row r="532" s="4" customFormat="1" ht="12.75" customHeight="1" x14ac:dyDescent="0.25"/>
    <row r="533" s="4" customFormat="1" ht="12.75" customHeight="1" x14ac:dyDescent="0.25"/>
    <row r="534" s="4" customFormat="1" ht="12.75" customHeight="1" x14ac:dyDescent="0.25"/>
    <row r="535" s="4" customFormat="1" ht="12.75" customHeight="1" x14ac:dyDescent="0.25"/>
    <row r="536" s="4" customFormat="1" ht="12.75" customHeight="1" x14ac:dyDescent="0.25"/>
    <row r="537" s="4" customFormat="1" ht="12.75" customHeight="1" x14ac:dyDescent="0.25"/>
    <row r="538" s="4" customFormat="1" ht="12.75" customHeight="1" x14ac:dyDescent="0.25"/>
    <row r="539" s="4" customFormat="1" ht="12.75" customHeight="1" x14ac:dyDescent="0.25"/>
    <row r="540" s="4" customFormat="1" ht="12.75" customHeight="1" x14ac:dyDescent="0.25"/>
    <row r="541" s="4" customFormat="1" ht="12.75" customHeight="1" x14ac:dyDescent="0.25"/>
    <row r="542" s="4" customFormat="1" ht="12.75" customHeight="1" x14ac:dyDescent="0.25"/>
    <row r="543" s="4" customFormat="1" ht="12.75" customHeight="1" x14ac:dyDescent="0.25"/>
    <row r="544" s="4" customFormat="1" ht="12.75" customHeight="1" x14ac:dyDescent="0.25"/>
    <row r="545" s="4" customFormat="1" ht="12.75" customHeight="1" x14ac:dyDescent="0.25"/>
    <row r="546" s="4" customFormat="1" ht="12.75" customHeight="1" x14ac:dyDescent="0.25"/>
    <row r="547" s="4" customFormat="1" ht="12.75" customHeight="1" x14ac:dyDescent="0.25"/>
    <row r="548" s="4" customFormat="1" ht="12.75" customHeight="1" x14ac:dyDescent="0.25"/>
    <row r="549" s="4" customFormat="1" ht="12.75" customHeight="1" x14ac:dyDescent="0.25"/>
    <row r="550" s="4" customFormat="1" ht="12.75" customHeight="1" x14ac:dyDescent="0.25"/>
    <row r="551" s="4" customFormat="1" ht="12.75" customHeight="1" x14ac:dyDescent="0.25"/>
    <row r="552" s="4" customFormat="1" ht="12.75" customHeight="1" x14ac:dyDescent="0.25"/>
    <row r="553" s="4" customFormat="1" ht="12.75" customHeight="1" x14ac:dyDescent="0.25"/>
    <row r="554" s="4" customFormat="1" ht="12.75" customHeight="1" x14ac:dyDescent="0.25"/>
    <row r="555" s="4" customFormat="1" ht="12.75" customHeight="1" x14ac:dyDescent="0.25"/>
    <row r="556" s="4" customFormat="1" ht="12.75" customHeight="1" x14ac:dyDescent="0.25"/>
    <row r="557" s="4" customFormat="1" ht="12.75" customHeight="1" x14ac:dyDescent="0.25"/>
    <row r="558" s="4" customFormat="1" ht="12.75" customHeight="1" x14ac:dyDescent="0.25"/>
    <row r="559" s="4" customFormat="1" ht="12.75" customHeight="1" x14ac:dyDescent="0.25"/>
    <row r="560" s="4" customFormat="1" ht="12.75" customHeight="1" x14ac:dyDescent="0.25"/>
    <row r="561" s="4" customFormat="1" ht="12.75" customHeight="1" x14ac:dyDescent="0.25"/>
    <row r="562" s="4" customFormat="1" ht="12.75" customHeight="1" x14ac:dyDescent="0.25"/>
    <row r="563" s="4" customFormat="1" ht="12.75" customHeight="1" x14ac:dyDescent="0.25"/>
    <row r="564" s="4" customFormat="1" ht="12.75" customHeight="1" x14ac:dyDescent="0.25"/>
    <row r="565" s="4" customFormat="1" ht="12.75" customHeight="1" x14ac:dyDescent="0.25"/>
    <row r="566" s="4" customFormat="1" ht="12.75" customHeight="1" x14ac:dyDescent="0.25"/>
    <row r="567" s="4" customFormat="1" ht="12.75" customHeight="1" x14ac:dyDescent="0.25"/>
    <row r="568" s="4" customFormat="1" ht="12.75" customHeight="1" x14ac:dyDescent="0.25"/>
    <row r="569" s="4" customFormat="1" ht="12.75" customHeight="1" x14ac:dyDescent="0.25"/>
    <row r="570" s="4" customFormat="1" ht="12.75" customHeight="1" x14ac:dyDescent="0.25"/>
    <row r="571" s="4" customFormat="1" ht="12.75" customHeight="1" x14ac:dyDescent="0.25"/>
    <row r="572" s="4" customFormat="1" ht="12.75" customHeight="1" x14ac:dyDescent="0.25"/>
    <row r="573" s="4" customFormat="1" ht="12.75" customHeight="1" x14ac:dyDescent="0.25"/>
    <row r="574" s="4" customFormat="1" ht="12.75" customHeight="1" x14ac:dyDescent="0.25"/>
    <row r="575" s="4" customFormat="1" ht="12.75" customHeight="1" x14ac:dyDescent="0.25"/>
    <row r="576" s="4" customFormat="1" ht="12.75" customHeight="1" x14ac:dyDescent="0.25"/>
    <row r="577" s="4" customFormat="1" ht="12.75" customHeight="1" x14ac:dyDescent="0.25"/>
    <row r="578" s="4" customFormat="1" ht="12.75" customHeight="1" x14ac:dyDescent="0.25"/>
    <row r="579" s="4" customFormat="1" ht="12.75" customHeight="1" x14ac:dyDescent="0.25"/>
    <row r="580" s="4" customFormat="1" ht="12.75" customHeight="1" x14ac:dyDescent="0.25"/>
    <row r="581" s="4" customFormat="1" ht="12.75" customHeight="1" x14ac:dyDescent="0.25"/>
    <row r="582" s="4" customFormat="1" ht="12.75" customHeight="1" x14ac:dyDescent="0.25"/>
    <row r="583" s="4" customFormat="1" ht="12.75" customHeight="1" x14ac:dyDescent="0.25"/>
    <row r="584" s="4" customFormat="1" ht="12.75" customHeight="1" x14ac:dyDescent="0.25"/>
    <row r="585" s="4" customFormat="1" ht="12.75" customHeight="1" x14ac:dyDescent="0.25"/>
    <row r="586" s="4" customFormat="1" ht="12.75" customHeight="1" x14ac:dyDescent="0.25"/>
    <row r="587" s="4" customFormat="1" ht="12.75" customHeight="1" x14ac:dyDescent="0.25"/>
    <row r="588" s="4" customFormat="1" ht="12.75" customHeight="1" x14ac:dyDescent="0.25"/>
    <row r="589" s="4" customFormat="1" ht="12.75" customHeight="1" x14ac:dyDescent="0.25"/>
    <row r="590" s="4" customFormat="1" ht="12.75" customHeight="1" x14ac:dyDescent="0.25"/>
    <row r="591" s="4" customFormat="1" ht="12.75" customHeight="1" x14ac:dyDescent="0.25"/>
    <row r="592" s="4" customFormat="1" ht="12.75" customHeight="1" x14ac:dyDescent="0.25"/>
    <row r="593" s="4" customFormat="1" ht="12.75" customHeight="1" x14ac:dyDescent="0.25"/>
    <row r="594" s="4" customFormat="1" ht="12.75" customHeight="1" x14ac:dyDescent="0.25"/>
    <row r="595" s="4" customFormat="1" ht="12.75" customHeight="1" x14ac:dyDescent="0.25"/>
    <row r="596" s="4" customFormat="1" ht="12.75" customHeight="1" x14ac:dyDescent="0.25"/>
    <row r="597" s="4" customFormat="1" ht="12.75" customHeight="1" x14ac:dyDescent="0.25"/>
    <row r="598" s="4" customFormat="1" ht="12.75" customHeight="1" x14ac:dyDescent="0.25"/>
    <row r="599" s="4" customFormat="1" ht="12.75" customHeight="1" x14ac:dyDescent="0.25"/>
    <row r="600" s="4" customFormat="1" ht="12.75" customHeight="1" x14ac:dyDescent="0.25"/>
    <row r="601" s="4" customFormat="1" ht="12.75" customHeight="1" x14ac:dyDescent="0.25"/>
    <row r="602" s="4" customFormat="1" ht="12.75" customHeight="1" x14ac:dyDescent="0.25"/>
    <row r="603" s="4" customFormat="1" ht="12.75" customHeight="1" x14ac:dyDescent="0.25"/>
    <row r="604" s="4" customFormat="1" ht="12.75" customHeight="1" x14ac:dyDescent="0.25"/>
    <row r="605" s="4" customFormat="1" ht="12.75" customHeight="1" x14ac:dyDescent="0.25"/>
    <row r="606" s="4" customFormat="1" ht="12.75" customHeight="1" x14ac:dyDescent="0.25"/>
    <row r="607" s="4" customFormat="1" ht="12.75" customHeight="1" x14ac:dyDescent="0.25"/>
    <row r="608" s="4" customFormat="1" ht="12.75" customHeight="1" x14ac:dyDescent="0.25"/>
    <row r="609" s="4" customFormat="1" ht="12.75" customHeight="1" x14ac:dyDescent="0.25"/>
    <row r="610" s="4" customFormat="1" ht="12.75" customHeight="1" x14ac:dyDescent="0.25"/>
    <row r="611" s="4" customFormat="1" ht="12.75" customHeight="1" x14ac:dyDescent="0.25"/>
    <row r="612" s="4" customFormat="1" ht="12.75" customHeight="1" x14ac:dyDescent="0.25"/>
    <row r="613" s="4" customFormat="1" ht="12.75" customHeight="1" x14ac:dyDescent="0.25"/>
    <row r="614" s="4" customFormat="1" ht="12.75" customHeight="1" x14ac:dyDescent="0.25"/>
    <row r="615" s="4" customFormat="1" ht="12.75" customHeight="1" x14ac:dyDescent="0.25"/>
    <row r="616" s="4" customFormat="1" ht="12.75" customHeight="1" x14ac:dyDescent="0.25"/>
    <row r="617" s="4" customFormat="1" ht="12.75" customHeight="1" x14ac:dyDescent="0.25"/>
    <row r="618" s="4" customFormat="1" ht="12.75" customHeight="1" x14ac:dyDescent="0.25"/>
    <row r="619" s="4" customFormat="1" ht="12.75" customHeight="1" x14ac:dyDescent="0.25"/>
    <row r="620" s="4" customFormat="1" ht="12.75" customHeight="1" x14ac:dyDescent="0.25"/>
    <row r="621" s="4" customFormat="1" ht="12.75" customHeight="1" x14ac:dyDescent="0.25"/>
    <row r="622" s="4" customFormat="1" ht="12.75" customHeight="1" x14ac:dyDescent="0.25"/>
    <row r="623" s="4" customFormat="1" ht="12.75" customHeight="1" x14ac:dyDescent="0.25"/>
    <row r="624" s="4" customFormat="1" ht="12.75" customHeight="1" x14ac:dyDescent="0.25"/>
    <row r="625" s="4" customFormat="1" ht="12.75" customHeight="1" x14ac:dyDescent="0.25"/>
    <row r="626" s="4" customFormat="1" ht="12.75" customHeight="1" x14ac:dyDescent="0.25"/>
    <row r="627" s="4" customFormat="1" ht="12.75" customHeight="1" x14ac:dyDescent="0.25"/>
    <row r="628" s="4" customFormat="1" ht="12.75" customHeight="1" x14ac:dyDescent="0.25"/>
    <row r="629" s="4" customFormat="1" ht="12.75" customHeight="1" x14ac:dyDescent="0.25"/>
    <row r="630" s="4" customFormat="1" ht="12.75" customHeight="1" x14ac:dyDescent="0.25"/>
    <row r="631" s="4" customFormat="1" ht="12.75" customHeight="1" x14ac:dyDescent="0.25"/>
    <row r="632" s="4" customFormat="1" ht="12.75" customHeight="1" x14ac:dyDescent="0.25"/>
    <row r="633" s="4" customFormat="1" ht="12.75" customHeight="1" x14ac:dyDescent="0.25"/>
    <row r="634" s="4" customFormat="1" ht="12.75" customHeight="1" x14ac:dyDescent="0.25"/>
    <row r="635" s="4" customFormat="1" ht="12.75" customHeight="1" x14ac:dyDescent="0.25"/>
    <row r="636" s="4" customFormat="1" ht="12.75" customHeight="1" x14ac:dyDescent="0.25"/>
    <row r="637" s="4" customFormat="1" ht="12.75" customHeight="1" x14ac:dyDescent="0.25"/>
    <row r="638" s="4" customFormat="1" ht="12.75" customHeight="1" x14ac:dyDescent="0.25"/>
    <row r="639" s="4" customFormat="1" ht="12.75" customHeight="1" x14ac:dyDescent="0.25"/>
    <row r="640" s="4" customFormat="1" ht="12.75" customHeight="1" x14ac:dyDescent="0.25"/>
    <row r="641" s="4" customFormat="1" ht="12.75" customHeight="1" x14ac:dyDescent="0.25"/>
    <row r="642" s="4" customFormat="1" ht="12.75" customHeight="1" x14ac:dyDescent="0.25"/>
    <row r="643" s="4" customFormat="1" ht="12.75" customHeight="1" x14ac:dyDescent="0.25"/>
    <row r="644" s="4" customFormat="1" ht="12.75" customHeight="1" x14ac:dyDescent="0.25"/>
    <row r="645" s="4" customFormat="1" ht="12.75" customHeight="1" x14ac:dyDescent="0.25"/>
    <row r="646" s="4" customFormat="1" ht="12.75" customHeight="1" x14ac:dyDescent="0.25"/>
    <row r="647" s="4" customFormat="1" ht="12.75" customHeight="1" x14ac:dyDescent="0.25"/>
    <row r="648" s="4" customFormat="1" ht="12.75" customHeight="1" x14ac:dyDescent="0.25"/>
    <row r="649" s="4" customFormat="1" ht="12.75" customHeight="1" x14ac:dyDescent="0.25"/>
    <row r="650" s="4" customFormat="1" ht="12.75" customHeight="1" x14ac:dyDescent="0.25"/>
    <row r="651" s="4" customFormat="1" ht="12.75" customHeight="1" x14ac:dyDescent="0.25"/>
    <row r="652" s="4" customFormat="1" ht="12.75" customHeight="1" x14ac:dyDescent="0.25"/>
    <row r="653" s="4" customFormat="1" ht="12.75" customHeight="1" x14ac:dyDescent="0.25"/>
    <row r="654" s="4" customFormat="1" ht="12.75" customHeight="1" x14ac:dyDescent="0.25"/>
    <row r="655" s="4" customFormat="1" ht="12.75" customHeight="1" x14ac:dyDescent="0.25"/>
    <row r="656" s="4" customFormat="1" ht="12.75" customHeight="1" x14ac:dyDescent="0.25"/>
    <row r="657" s="4" customFormat="1" ht="12.75" customHeight="1" x14ac:dyDescent="0.25"/>
    <row r="658" s="4" customFormat="1" ht="12.75" customHeight="1" x14ac:dyDescent="0.25"/>
    <row r="659" s="4" customFormat="1" ht="12.75" customHeight="1" x14ac:dyDescent="0.25"/>
    <row r="660" s="4" customFormat="1" ht="12.75" customHeight="1" x14ac:dyDescent="0.25"/>
    <row r="661" s="4" customFormat="1" ht="12.75" customHeight="1" x14ac:dyDescent="0.25"/>
    <row r="662" s="4" customFormat="1" ht="12.75" customHeight="1" x14ac:dyDescent="0.25"/>
    <row r="663" s="4" customFormat="1" ht="12.75" customHeight="1" x14ac:dyDescent="0.25"/>
    <row r="664" s="4" customFormat="1" ht="12.75" customHeight="1" x14ac:dyDescent="0.25"/>
    <row r="665" s="4" customFormat="1" ht="12.75" customHeight="1" x14ac:dyDescent="0.25"/>
    <row r="666" s="4" customFormat="1" ht="12.75" customHeight="1" x14ac:dyDescent="0.25"/>
    <row r="667" s="4" customFormat="1" ht="12.75" customHeight="1" x14ac:dyDescent="0.25"/>
    <row r="668" s="4" customFormat="1" ht="12.75" customHeight="1" x14ac:dyDescent="0.25"/>
    <row r="669" s="4" customFormat="1" ht="12.75" customHeight="1" x14ac:dyDescent="0.25"/>
    <row r="670" s="4" customFormat="1" ht="12.75" customHeight="1" x14ac:dyDescent="0.25"/>
    <row r="671" s="4" customFormat="1" ht="12.75" customHeight="1" x14ac:dyDescent="0.25"/>
    <row r="672" s="4" customFormat="1" ht="12.75" customHeight="1" x14ac:dyDescent="0.25"/>
    <row r="673" s="4" customFormat="1" ht="12.75" customHeight="1" x14ac:dyDescent="0.25"/>
    <row r="674" s="4" customFormat="1" ht="12.75" customHeight="1" x14ac:dyDescent="0.25"/>
    <row r="675" s="4" customFormat="1" ht="12.75" customHeight="1" x14ac:dyDescent="0.25"/>
    <row r="676" s="4" customFormat="1" ht="12.75" customHeight="1" x14ac:dyDescent="0.25"/>
    <row r="677" s="4" customFormat="1" ht="12.75" customHeight="1" x14ac:dyDescent="0.25"/>
    <row r="678" s="4" customFormat="1" ht="12.75" customHeight="1" x14ac:dyDescent="0.25"/>
    <row r="679" s="4" customFormat="1" ht="12.75" customHeight="1" x14ac:dyDescent="0.25"/>
    <row r="680" s="4" customFormat="1" ht="12.75" customHeight="1" x14ac:dyDescent="0.25"/>
    <row r="681" s="4" customFormat="1" ht="12.75" customHeight="1" x14ac:dyDescent="0.25"/>
    <row r="682" s="4" customFormat="1" ht="12.75" customHeight="1" x14ac:dyDescent="0.25"/>
    <row r="683" s="4" customFormat="1" ht="12.75" customHeight="1" x14ac:dyDescent="0.25"/>
    <row r="684" s="4" customFormat="1" ht="12.75" customHeight="1" x14ac:dyDescent="0.25"/>
    <row r="685" s="4" customFormat="1" ht="12.75" customHeight="1" x14ac:dyDescent="0.25"/>
    <row r="686" s="4" customFormat="1" ht="12.75" customHeight="1" x14ac:dyDescent="0.25"/>
    <row r="687" s="4" customFormat="1" ht="12.75" customHeight="1" x14ac:dyDescent="0.25"/>
    <row r="688" s="4" customFormat="1" ht="12.75" customHeight="1" x14ac:dyDescent="0.25"/>
    <row r="689" s="4" customFormat="1" ht="12.75" customHeight="1" x14ac:dyDescent="0.25"/>
    <row r="690" s="4" customFormat="1" ht="12.75" customHeight="1" x14ac:dyDescent="0.25"/>
    <row r="691" s="4" customFormat="1" ht="12.75" customHeight="1" x14ac:dyDescent="0.25"/>
    <row r="692" s="4" customFormat="1" ht="12.75" customHeight="1" x14ac:dyDescent="0.25"/>
    <row r="693" s="4" customFormat="1" ht="12.75" customHeight="1" x14ac:dyDescent="0.25"/>
    <row r="694" s="4" customFormat="1" ht="12.75" customHeight="1" x14ac:dyDescent="0.25"/>
    <row r="695" s="4" customFormat="1" ht="12.75" customHeight="1" x14ac:dyDescent="0.25"/>
    <row r="696" s="4" customFormat="1" ht="12.75" customHeight="1" x14ac:dyDescent="0.25"/>
    <row r="697" s="4" customFormat="1" ht="12.75" customHeight="1" x14ac:dyDescent="0.25"/>
    <row r="698" s="4" customFormat="1" ht="12.75" customHeight="1" x14ac:dyDescent="0.25"/>
    <row r="699" s="4" customFormat="1" ht="12.75" customHeight="1" x14ac:dyDescent="0.25"/>
    <row r="700" s="4" customFormat="1" ht="12.75" customHeight="1" x14ac:dyDescent="0.25"/>
    <row r="701" s="4" customFormat="1" ht="12.75" customHeight="1" x14ac:dyDescent="0.25"/>
    <row r="702" s="4" customFormat="1" ht="12.75" customHeight="1" x14ac:dyDescent="0.25"/>
    <row r="703" s="4" customFormat="1" ht="12.75" customHeight="1" x14ac:dyDescent="0.25"/>
    <row r="704" s="4" customFormat="1" ht="12.75" customHeight="1" x14ac:dyDescent="0.25"/>
    <row r="705" s="4" customFormat="1" ht="12.75" customHeight="1" x14ac:dyDescent="0.25"/>
    <row r="706" s="4" customFormat="1" ht="12.75" customHeight="1" x14ac:dyDescent="0.25"/>
    <row r="707" s="4" customFormat="1" ht="12.75" customHeight="1" x14ac:dyDescent="0.25"/>
    <row r="708" s="4" customFormat="1" ht="12.75" customHeight="1" x14ac:dyDescent="0.25"/>
    <row r="709" s="4" customFormat="1" ht="12.75" customHeight="1" x14ac:dyDescent="0.25"/>
    <row r="710" s="4" customFormat="1" ht="12.75" customHeight="1" x14ac:dyDescent="0.25"/>
    <row r="711" s="4" customFormat="1" ht="12.75" customHeight="1" x14ac:dyDescent="0.25"/>
    <row r="712" s="4" customFormat="1" ht="12.75" customHeight="1" x14ac:dyDescent="0.25"/>
    <row r="713" s="4" customFormat="1" ht="12.75" customHeight="1" x14ac:dyDescent="0.25"/>
    <row r="714" s="4" customFormat="1" ht="12.75" customHeight="1" x14ac:dyDescent="0.25"/>
    <row r="715" s="4" customFormat="1" ht="12.75" customHeight="1" x14ac:dyDescent="0.25"/>
    <row r="716" s="4" customFormat="1" ht="12.75" customHeight="1" x14ac:dyDescent="0.25"/>
    <row r="717" s="4" customFormat="1" ht="12.75" customHeight="1" x14ac:dyDescent="0.25"/>
    <row r="718" s="4" customFormat="1" ht="12.75" customHeight="1" x14ac:dyDescent="0.25"/>
    <row r="719" s="4" customFormat="1" ht="12.75" customHeight="1" x14ac:dyDescent="0.25"/>
    <row r="720" s="4" customFormat="1" ht="12.75" customHeight="1" x14ac:dyDescent="0.25"/>
    <row r="721" s="4" customFormat="1" ht="12.75" customHeight="1" x14ac:dyDescent="0.25"/>
    <row r="722" s="4" customFormat="1" ht="12.75" customHeight="1" x14ac:dyDescent="0.25"/>
    <row r="723" s="4" customFormat="1" ht="12.75" customHeight="1" x14ac:dyDescent="0.25"/>
    <row r="724" s="4" customFormat="1" ht="12.75" customHeight="1" x14ac:dyDescent="0.25"/>
    <row r="725" s="4" customFormat="1" ht="12.75" customHeight="1" x14ac:dyDescent="0.25"/>
    <row r="726" s="4" customFormat="1" ht="12.75" customHeight="1" x14ac:dyDescent="0.25"/>
    <row r="727" s="4" customFormat="1" ht="12.75" customHeight="1" x14ac:dyDescent="0.25"/>
    <row r="728" s="4" customFormat="1" ht="12.75" customHeight="1" x14ac:dyDescent="0.25"/>
    <row r="729" s="4" customFormat="1" ht="12.75" customHeight="1" x14ac:dyDescent="0.25"/>
    <row r="730" s="4" customFormat="1" ht="12.75" customHeight="1" x14ac:dyDescent="0.25"/>
    <row r="731" s="4" customFormat="1" ht="12.75" customHeight="1" x14ac:dyDescent="0.25"/>
    <row r="732" s="4" customFormat="1" ht="12.75" customHeight="1" x14ac:dyDescent="0.25"/>
    <row r="733" s="4" customFormat="1" ht="12.75" customHeight="1" x14ac:dyDescent="0.25"/>
    <row r="734" s="4" customFormat="1" ht="12.75" customHeight="1" x14ac:dyDescent="0.25"/>
    <row r="735" s="4" customFormat="1" ht="12.75" customHeight="1" x14ac:dyDescent="0.25"/>
    <row r="736" s="4" customFormat="1" ht="12.75" customHeight="1" x14ac:dyDescent="0.25"/>
    <row r="737" s="4" customFormat="1" ht="12.75" customHeight="1" x14ac:dyDescent="0.25"/>
    <row r="738" s="4" customFormat="1" ht="12.75" customHeight="1" x14ac:dyDescent="0.25"/>
    <row r="739" s="4" customFormat="1" ht="12.75" customHeight="1" x14ac:dyDescent="0.25"/>
    <row r="740" s="4" customFormat="1" ht="12.75" customHeight="1" x14ac:dyDescent="0.25"/>
    <row r="741" s="4" customFormat="1" ht="12.75" customHeight="1" x14ac:dyDescent="0.25"/>
    <row r="742" s="4" customFormat="1" ht="12.75" customHeight="1" x14ac:dyDescent="0.25"/>
    <row r="743" s="4" customFormat="1" ht="12.75" customHeight="1" x14ac:dyDescent="0.25"/>
    <row r="744" s="4" customFormat="1" ht="12.75" customHeight="1" x14ac:dyDescent="0.25"/>
    <row r="745" s="4" customFormat="1" ht="12.75" customHeight="1" x14ac:dyDescent="0.25"/>
    <row r="746" s="4" customFormat="1" ht="12.75" customHeight="1" x14ac:dyDescent="0.25"/>
    <row r="747" s="4" customFormat="1" ht="12.75" customHeight="1" x14ac:dyDescent="0.25"/>
    <row r="748" s="4" customFormat="1" ht="12.75" customHeight="1" x14ac:dyDescent="0.25"/>
    <row r="749" s="4" customFormat="1" ht="12.75" customHeight="1" x14ac:dyDescent="0.25"/>
    <row r="750" s="4" customFormat="1" ht="12.75" customHeight="1" x14ac:dyDescent="0.25"/>
    <row r="751" s="4" customFormat="1" ht="12.75" customHeight="1" x14ac:dyDescent="0.25"/>
    <row r="752" s="4" customFormat="1" ht="12.75" customHeight="1" x14ac:dyDescent="0.25"/>
    <row r="753" s="4" customFormat="1" ht="12.75" customHeight="1" x14ac:dyDescent="0.25"/>
    <row r="754" s="4" customFormat="1" ht="12.75" customHeight="1" x14ac:dyDescent="0.25"/>
    <row r="755" s="4" customFormat="1" ht="12.75" customHeight="1" x14ac:dyDescent="0.25"/>
    <row r="756" s="4" customFormat="1" ht="12.75" customHeight="1" x14ac:dyDescent="0.25"/>
    <row r="757" s="4" customFormat="1" ht="12.75" customHeight="1" x14ac:dyDescent="0.25"/>
    <row r="758" s="4" customFormat="1" ht="12.75" customHeight="1" x14ac:dyDescent="0.25"/>
    <row r="759" s="4" customFormat="1" ht="12.75" customHeight="1" x14ac:dyDescent="0.25"/>
    <row r="760" s="4" customFormat="1" ht="12.75" customHeight="1" x14ac:dyDescent="0.25"/>
    <row r="761" s="4" customFormat="1" ht="12.75" customHeight="1" x14ac:dyDescent="0.25"/>
    <row r="762" s="4" customFormat="1" ht="12.75" customHeight="1" x14ac:dyDescent="0.25"/>
    <row r="763" s="4" customFormat="1" ht="12.75" customHeight="1" x14ac:dyDescent="0.25"/>
    <row r="764" s="4" customFormat="1" ht="12.75" customHeight="1" x14ac:dyDescent="0.25"/>
    <row r="765" s="4" customFormat="1" ht="12.75" customHeight="1" x14ac:dyDescent="0.25"/>
    <row r="766" s="4" customFormat="1" ht="12.75" customHeight="1" x14ac:dyDescent="0.25"/>
    <row r="767" s="4" customFormat="1" ht="12.75" customHeight="1" x14ac:dyDescent="0.25"/>
    <row r="768" s="4" customFormat="1" ht="12.75" customHeight="1" x14ac:dyDescent="0.25"/>
    <row r="769" s="4" customFormat="1" ht="12.75" customHeight="1" x14ac:dyDescent="0.25"/>
    <row r="770" s="4" customFormat="1" ht="12.75" customHeight="1" x14ac:dyDescent="0.25"/>
    <row r="771" s="4" customFormat="1" ht="12.75" customHeight="1" x14ac:dyDescent="0.25"/>
    <row r="772" s="4" customFormat="1" ht="12.75" customHeight="1" x14ac:dyDescent="0.25"/>
    <row r="773" s="4" customFormat="1" ht="12.75" customHeight="1" x14ac:dyDescent="0.25"/>
    <row r="774" s="4" customFormat="1" ht="12.75" customHeight="1" x14ac:dyDescent="0.25"/>
    <row r="775" s="4" customFormat="1" ht="12.75" customHeight="1" x14ac:dyDescent="0.25"/>
    <row r="776" s="4" customFormat="1" ht="12.75" customHeight="1" x14ac:dyDescent="0.25"/>
    <row r="777" s="4" customFormat="1" ht="12.75" customHeight="1" x14ac:dyDescent="0.25"/>
    <row r="778" s="4" customFormat="1" ht="12.75" customHeight="1" x14ac:dyDescent="0.25"/>
    <row r="779" s="4" customFormat="1" ht="12.75" customHeight="1" x14ac:dyDescent="0.25"/>
    <row r="780" s="4" customFormat="1" ht="12.75" customHeight="1" x14ac:dyDescent="0.25"/>
    <row r="781" s="4" customFormat="1" ht="12.75" customHeight="1" x14ac:dyDescent="0.25"/>
    <row r="782" s="4" customFormat="1" ht="12.75" customHeight="1" x14ac:dyDescent="0.25"/>
    <row r="783" s="4" customFormat="1" ht="12.75" customHeight="1" x14ac:dyDescent="0.25"/>
    <row r="784" s="4" customFormat="1" ht="12.75" customHeight="1" x14ac:dyDescent="0.25"/>
    <row r="785" s="4" customFormat="1" ht="12.75" customHeight="1" x14ac:dyDescent="0.25"/>
    <row r="786" s="4" customFormat="1" ht="12.75" customHeight="1" x14ac:dyDescent="0.25"/>
    <row r="787" s="4" customFormat="1" ht="12.75" customHeight="1" x14ac:dyDescent="0.25"/>
    <row r="788" s="4" customFormat="1" ht="12.75" customHeight="1" x14ac:dyDescent="0.25"/>
    <row r="789" s="4" customFormat="1" ht="12.75" customHeight="1" x14ac:dyDescent="0.25"/>
    <row r="790" s="4" customFormat="1" ht="12.75" customHeight="1" x14ac:dyDescent="0.25"/>
    <row r="791" s="4" customFormat="1" ht="12.75" customHeight="1" x14ac:dyDescent="0.25"/>
    <row r="792" s="4" customFormat="1" ht="12.75" customHeight="1" x14ac:dyDescent="0.25"/>
    <row r="793" s="4" customFormat="1" ht="12.75" customHeight="1" x14ac:dyDescent="0.25"/>
    <row r="794" s="4" customFormat="1" ht="12.75" customHeight="1" x14ac:dyDescent="0.25"/>
    <row r="795" s="4" customFormat="1" ht="12.75" customHeight="1" x14ac:dyDescent="0.25"/>
    <row r="796" s="4" customFormat="1" ht="12.75" customHeight="1" x14ac:dyDescent="0.25"/>
    <row r="797" s="4" customFormat="1" ht="12.75" customHeight="1" x14ac:dyDescent="0.25"/>
    <row r="798" s="4" customFormat="1" ht="12.75" customHeight="1" x14ac:dyDescent="0.25"/>
    <row r="799" s="4" customFormat="1" ht="12.75" customHeight="1" x14ac:dyDescent="0.25"/>
    <row r="800" s="4" customFormat="1" ht="12.75" customHeight="1" x14ac:dyDescent="0.25"/>
    <row r="801" s="4" customFormat="1" ht="12.75" customHeight="1" x14ac:dyDescent="0.25"/>
    <row r="802" s="4" customFormat="1" ht="12.75" customHeight="1" x14ac:dyDescent="0.25"/>
    <row r="803" s="4" customFormat="1" ht="12.75" customHeight="1" x14ac:dyDescent="0.25"/>
    <row r="804" s="4" customFormat="1" ht="12.75" customHeight="1" x14ac:dyDescent="0.25"/>
    <row r="805" s="4" customFormat="1" ht="12.75" customHeight="1" x14ac:dyDescent="0.25"/>
    <row r="806" s="4" customFormat="1" ht="12.75" customHeight="1" x14ac:dyDescent="0.25"/>
    <row r="807" s="4" customFormat="1" ht="12.75" customHeight="1" x14ac:dyDescent="0.25"/>
    <row r="808" s="4" customFormat="1" ht="12.75" customHeight="1" x14ac:dyDescent="0.25"/>
    <row r="809" s="4" customFormat="1" ht="12.75" customHeight="1" x14ac:dyDescent="0.25"/>
    <row r="810" s="4" customFormat="1" ht="12.75" customHeight="1" x14ac:dyDescent="0.25"/>
    <row r="811" s="4" customFormat="1" ht="12.75" customHeight="1" x14ac:dyDescent="0.25"/>
    <row r="812" s="4" customFormat="1" ht="12.75" customHeight="1" x14ac:dyDescent="0.25"/>
    <row r="813" s="4" customFormat="1" ht="12.75" customHeight="1" x14ac:dyDescent="0.25"/>
    <row r="814" s="4" customFormat="1" ht="12.75" customHeight="1" x14ac:dyDescent="0.25"/>
    <row r="815" s="4" customFormat="1" ht="12.75" customHeight="1" x14ac:dyDescent="0.25"/>
    <row r="816" s="4" customFormat="1" ht="12.75" customHeight="1" x14ac:dyDescent="0.25"/>
    <row r="817" s="4" customFormat="1" ht="12.75" customHeight="1" x14ac:dyDescent="0.25"/>
    <row r="818" s="4" customFormat="1" ht="12.75" customHeight="1" x14ac:dyDescent="0.25"/>
    <row r="819" s="4" customFormat="1" ht="12.75" customHeight="1" x14ac:dyDescent="0.25"/>
    <row r="820" s="4" customFormat="1" ht="12.75" customHeight="1" x14ac:dyDescent="0.25"/>
    <row r="821" s="4" customFormat="1" ht="12.75" customHeight="1" x14ac:dyDescent="0.25"/>
    <row r="822" s="4" customFormat="1" ht="12.75" customHeight="1" x14ac:dyDescent="0.25"/>
    <row r="823" s="4" customFormat="1" ht="12.75" customHeight="1" x14ac:dyDescent="0.25"/>
    <row r="824" s="4" customFormat="1" ht="12.75" customHeight="1" x14ac:dyDescent="0.25"/>
    <row r="825" s="4" customFormat="1" ht="12.75" customHeight="1" x14ac:dyDescent="0.25"/>
    <row r="826" s="4" customFormat="1" ht="12.75" customHeight="1" x14ac:dyDescent="0.25"/>
    <row r="827" s="4" customFormat="1" ht="12.75" customHeight="1" x14ac:dyDescent="0.25"/>
    <row r="828" s="4" customFormat="1" ht="12.75" customHeight="1" x14ac:dyDescent="0.25"/>
    <row r="829" s="4" customFormat="1" ht="12.75" customHeight="1" x14ac:dyDescent="0.25"/>
    <row r="830" s="4" customFormat="1" ht="12.75" customHeight="1" x14ac:dyDescent="0.25"/>
    <row r="831" s="4" customFormat="1" ht="12.75" customHeight="1" x14ac:dyDescent="0.25"/>
    <row r="832" s="4" customFormat="1" ht="12.75" customHeight="1" x14ac:dyDescent="0.25"/>
    <row r="833" s="4" customFormat="1" ht="12.75" customHeight="1" x14ac:dyDescent="0.25"/>
    <row r="834" s="4" customFormat="1" ht="12.75" customHeight="1" x14ac:dyDescent="0.25"/>
    <row r="835" s="4" customFormat="1" ht="12.75" customHeight="1" x14ac:dyDescent="0.25"/>
    <row r="836" s="4" customFormat="1" ht="12.75" customHeight="1" x14ac:dyDescent="0.25"/>
    <row r="837" s="4" customFormat="1" ht="12.75" customHeight="1" x14ac:dyDescent="0.25"/>
    <row r="838" s="4" customFormat="1" ht="12.75" customHeight="1" x14ac:dyDescent="0.25"/>
    <row r="839" s="4" customFormat="1" ht="12.75" customHeight="1" x14ac:dyDescent="0.25"/>
    <row r="840" s="4" customFormat="1" ht="12.75" customHeight="1" x14ac:dyDescent="0.25"/>
    <row r="841" s="4" customFormat="1" ht="12.75" customHeight="1" x14ac:dyDescent="0.25"/>
    <row r="842" s="4" customFormat="1" ht="12.75" customHeight="1" x14ac:dyDescent="0.25"/>
    <row r="843" s="4" customFormat="1" ht="12.75" customHeight="1" x14ac:dyDescent="0.25"/>
    <row r="844" s="4" customFormat="1" ht="12.75" customHeight="1" x14ac:dyDescent="0.25"/>
    <row r="845" s="4" customFormat="1" ht="12.75" customHeight="1" x14ac:dyDescent="0.25"/>
    <row r="846" s="4" customFormat="1" ht="12.75" customHeight="1" x14ac:dyDescent="0.25"/>
    <row r="847" s="4" customFormat="1" ht="12.75" customHeight="1" x14ac:dyDescent="0.25"/>
    <row r="848" s="4" customFormat="1" ht="12.75" customHeight="1" x14ac:dyDescent="0.25"/>
    <row r="849" s="4" customFormat="1" ht="12.75" customHeight="1" x14ac:dyDescent="0.25"/>
    <row r="850" s="4" customFormat="1" ht="12.75" customHeight="1" x14ac:dyDescent="0.25"/>
    <row r="851" s="4" customFormat="1" ht="12.75" customHeight="1" x14ac:dyDescent="0.25"/>
    <row r="852" s="4" customFormat="1" ht="12.75" customHeight="1" x14ac:dyDescent="0.25"/>
    <row r="853" s="4" customFormat="1" ht="12.75" customHeight="1" x14ac:dyDescent="0.25"/>
    <row r="854" s="4" customFormat="1" ht="12.75" customHeight="1" x14ac:dyDescent="0.25"/>
    <row r="855" s="4" customFormat="1" ht="12.75" customHeight="1" x14ac:dyDescent="0.25"/>
    <row r="856" s="4" customFormat="1" ht="12.75" customHeight="1" x14ac:dyDescent="0.25"/>
    <row r="857" s="4" customFormat="1" ht="12.75" customHeight="1" x14ac:dyDescent="0.25"/>
    <row r="858" s="4" customFormat="1" ht="12.75" customHeight="1" x14ac:dyDescent="0.25"/>
    <row r="859" s="4" customFormat="1" ht="12.75" customHeight="1" x14ac:dyDescent="0.25"/>
    <row r="860" s="4" customFormat="1" ht="12.75" customHeight="1" x14ac:dyDescent="0.25"/>
    <row r="861" s="4" customFormat="1" ht="12.75" customHeight="1" x14ac:dyDescent="0.25"/>
    <row r="862" s="4" customFormat="1" ht="12.75" customHeight="1" x14ac:dyDescent="0.25"/>
    <row r="863" s="4" customFormat="1" ht="12.75" customHeight="1" x14ac:dyDescent="0.25"/>
    <row r="864" s="4" customFormat="1" ht="12.75" customHeight="1" x14ac:dyDescent="0.25"/>
    <row r="865" s="4" customFormat="1" ht="12.75" customHeight="1" x14ac:dyDescent="0.25"/>
    <row r="866" s="4" customFormat="1" ht="12.75" customHeight="1" x14ac:dyDescent="0.25"/>
    <row r="867" s="4" customFormat="1" ht="12.75" customHeight="1" x14ac:dyDescent="0.25"/>
    <row r="868" s="4" customFormat="1" ht="12.75" customHeight="1" x14ac:dyDescent="0.25"/>
    <row r="869" s="4" customFormat="1" ht="12.75" customHeight="1" x14ac:dyDescent="0.25"/>
    <row r="870" s="4" customFormat="1" ht="12.75" customHeight="1" x14ac:dyDescent="0.25"/>
    <row r="871" s="4" customFormat="1" ht="12.75" customHeight="1" x14ac:dyDescent="0.25"/>
    <row r="872" s="4" customFormat="1" ht="12.75" customHeight="1" x14ac:dyDescent="0.25"/>
    <row r="873" s="4" customFormat="1" ht="12.75" customHeight="1" x14ac:dyDescent="0.25"/>
    <row r="874" s="4" customFormat="1" ht="12.75" customHeight="1" x14ac:dyDescent="0.25"/>
    <row r="875" s="4" customFormat="1" ht="12.75" customHeight="1" x14ac:dyDescent="0.25"/>
    <row r="876" s="4" customFormat="1" ht="12.75" customHeight="1" x14ac:dyDescent="0.25"/>
    <row r="877" s="4" customFormat="1" ht="12.75" customHeight="1" x14ac:dyDescent="0.25"/>
    <row r="878" s="4" customFormat="1" ht="12.75" customHeight="1" x14ac:dyDescent="0.25"/>
    <row r="879" s="4" customFormat="1" ht="12.75" customHeight="1" x14ac:dyDescent="0.25"/>
    <row r="880" s="4" customFormat="1" ht="12.75" customHeight="1" x14ac:dyDescent="0.25"/>
    <row r="881" s="4" customFormat="1" ht="12.75" customHeight="1" x14ac:dyDescent="0.25"/>
    <row r="882" s="4" customFormat="1" ht="12.75" customHeight="1" x14ac:dyDescent="0.25"/>
    <row r="883" s="4" customFormat="1" ht="12.75" customHeight="1" x14ac:dyDescent="0.25"/>
    <row r="884" s="4" customFormat="1" ht="12.75" customHeight="1" x14ac:dyDescent="0.25"/>
    <row r="885" s="4" customFormat="1" ht="12.75" customHeight="1" x14ac:dyDescent="0.25"/>
    <row r="886" s="4" customFormat="1" ht="12.75" customHeight="1" x14ac:dyDescent="0.25"/>
    <row r="887" s="4" customFormat="1" ht="12.75" customHeight="1" x14ac:dyDescent="0.25"/>
    <row r="888" s="4" customFormat="1" ht="12.75" customHeight="1" x14ac:dyDescent="0.25"/>
    <row r="889" s="4" customFormat="1" ht="12.75" customHeight="1" x14ac:dyDescent="0.25"/>
    <row r="890" s="4" customFormat="1" ht="12.75" customHeight="1" x14ac:dyDescent="0.25"/>
    <row r="891" s="4" customFormat="1" ht="12.75" customHeight="1" x14ac:dyDescent="0.25"/>
    <row r="892" s="4" customFormat="1" ht="12.75" customHeight="1" x14ac:dyDescent="0.25"/>
    <row r="893" s="4" customFormat="1" ht="12.75" customHeight="1" x14ac:dyDescent="0.25"/>
    <row r="894" s="4" customFormat="1" ht="12.75" customHeight="1" x14ac:dyDescent="0.25"/>
    <row r="895" s="4" customFormat="1" ht="12.75" customHeight="1" x14ac:dyDescent="0.25"/>
    <row r="896" s="4" customFormat="1" ht="12.75" customHeight="1" x14ac:dyDescent="0.25"/>
    <row r="897" s="4" customFormat="1" ht="12.75" customHeight="1" x14ac:dyDescent="0.25"/>
    <row r="898" s="4" customFormat="1" ht="12.75" customHeight="1" x14ac:dyDescent="0.25"/>
    <row r="899" s="4" customFormat="1" ht="12.75" customHeight="1" x14ac:dyDescent="0.25"/>
    <row r="900" s="4" customFormat="1" ht="12.75" customHeight="1" x14ac:dyDescent="0.25"/>
    <row r="901" s="4" customFormat="1" ht="12.75" customHeight="1" x14ac:dyDescent="0.25"/>
    <row r="902" s="4" customFormat="1" ht="12.75" customHeight="1" x14ac:dyDescent="0.25"/>
    <row r="903" s="4" customFormat="1" ht="12.75" customHeight="1" x14ac:dyDescent="0.25"/>
    <row r="904" s="4" customFormat="1" ht="12.75" customHeight="1" x14ac:dyDescent="0.25"/>
    <row r="905" s="4" customFormat="1" ht="12.75" customHeight="1" x14ac:dyDescent="0.25"/>
    <row r="906" s="4" customFormat="1" ht="12.75" customHeight="1" x14ac:dyDescent="0.25"/>
    <row r="907" s="4" customFormat="1" ht="12.75" customHeight="1" x14ac:dyDescent="0.25"/>
    <row r="908" s="4" customFormat="1" ht="12.75" customHeight="1" x14ac:dyDescent="0.25"/>
    <row r="909" s="4" customFormat="1" ht="12.75" customHeight="1" x14ac:dyDescent="0.25"/>
    <row r="910" s="4" customFormat="1" ht="12.75" customHeight="1" x14ac:dyDescent="0.25"/>
    <row r="911" s="4" customFormat="1" ht="12.75" customHeight="1" x14ac:dyDescent="0.25"/>
    <row r="912" s="4" customFormat="1" ht="12.75" customHeight="1" x14ac:dyDescent="0.25"/>
    <row r="913" s="4" customFormat="1" ht="12.75" customHeight="1" x14ac:dyDescent="0.25"/>
    <row r="914" s="4" customFormat="1" ht="12.75" customHeight="1" x14ac:dyDescent="0.25"/>
    <row r="915" s="4" customFormat="1" ht="12.75" customHeight="1" x14ac:dyDescent="0.25"/>
    <row r="916" s="4" customFormat="1" ht="12.75" customHeight="1" x14ac:dyDescent="0.25"/>
    <row r="917" s="4" customFormat="1" ht="12.75" customHeight="1" x14ac:dyDescent="0.25"/>
    <row r="918" s="4" customFormat="1" ht="12.75" customHeight="1" x14ac:dyDescent="0.25"/>
    <row r="919" s="4" customFormat="1" ht="12.75" customHeight="1" x14ac:dyDescent="0.25"/>
    <row r="920" s="4" customFormat="1" ht="12.75" customHeight="1" x14ac:dyDescent="0.25"/>
    <row r="921" s="4" customFormat="1" ht="12.75" customHeight="1" x14ac:dyDescent="0.25"/>
    <row r="922" s="4" customFormat="1" ht="12.75" customHeight="1" x14ac:dyDescent="0.25"/>
    <row r="923" s="4" customFormat="1" ht="12.75" customHeight="1" x14ac:dyDescent="0.25"/>
    <row r="924" s="4" customFormat="1" ht="12.75" customHeight="1" x14ac:dyDescent="0.25"/>
    <row r="925" s="4" customFormat="1" ht="12.75" customHeight="1" x14ac:dyDescent="0.25"/>
    <row r="926" s="4" customFormat="1" ht="12.75" customHeight="1" x14ac:dyDescent="0.25"/>
    <row r="927" s="4" customFormat="1" ht="12.75" customHeight="1" x14ac:dyDescent="0.25"/>
    <row r="928" s="4" customFormat="1" ht="12.75" customHeight="1" x14ac:dyDescent="0.25"/>
    <row r="929" s="4" customFormat="1" ht="12.75" customHeight="1" x14ac:dyDescent="0.25"/>
    <row r="930" s="4" customFormat="1" ht="12.75" customHeight="1" x14ac:dyDescent="0.25"/>
    <row r="931" s="4" customFormat="1" ht="12.75" customHeight="1" x14ac:dyDescent="0.25"/>
    <row r="932" s="4" customFormat="1" ht="12.75" customHeight="1" x14ac:dyDescent="0.25"/>
    <row r="933" s="4" customFormat="1" ht="12.75" customHeight="1" x14ac:dyDescent="0.25"/>
    <row r="934" s="4" customFormat="1" ht="12.75" customHeight="1" x14ac:dyDescent="0.25"/>
    <row r="935" s="4" customFormat="1" ht="12.75" customHeight="1" x14ac:dyDescent="0.25"/>
    <row r="936" s="4" customFormat="1" ht="12.75" customHeight="1" x14ac:dyDescent="0.25"/>
    <row r="937" s="4" customFormat="1" ht="12.75" customHeight="1" x14ac:dyDescent="0.25"/>
    <row r="938" s="4" customFormat="1" ht="12.75" customHeight="1" x14ac:dyDescent="0.25"/>
    <row r="939" s="4" customFormat="1" ht="12.75" customHeight="1" x14ac:dyDescent="0.25"/>
    <row r="940" s="4" customFormat="1" ht="12.75" customHeight="1" x14ac:dyDescent="0.25"/>
    <row r="941" s="4" customFormat="1" ht="12.75" customHeight="1" x14ac:dyDescent="0.25"/>
    <row r="942" s="4" customFormat="1" ht="12.75" customHeight="1" x14ac:dyDescent="0.25"/>
    <row r="943" s="4" customFormat="1" ht="12.75" customHeight="1" x14ac:dyDescent="0.25"/>
    <row r="944" s="4" customFormat="1" ht="12.75" customHeight="1" x14ac:dyDescent="0.25"/>
    <row r="945" s="4" customFormat="1" ht="12.75" customHeight="1" x14ac:dyDescent="0.25"/>
    <row r="946" s="4" customFormat="1" ht="12.75" customHeight="1" x14ac:dyDescent="0.25"/>
    <row r="947" s="4" customFormat="1" ht="12.75" customHeight="1" x14ac:dyDescent="0.25"/>
    <row r="948" s="4" customFormat="1" ht="12.75" customHeight="1" x14ac:dyDescent="0.25"/>
    <row r="949" s="4" customFormat="1" ht="12.75" customHeight="1" x14ac:dyDescent="0.25"/>
    <row r="950" s="4" customFormat="1" ht="12.75" customHeight="1" x14ac:dyDescent="0.25"/>
    <row r="951" s="4" customFormat="1" ht="12.75" customHeight="1" x14ac:dyDescent="0.25"/>
    <row r="952" s="4" customFormat="1" ht="12.75" customHeight="1" x14ac:dyDescent="0.25"/>
    <row r="953" s="4" customFormat="1" ht="12.75" customHeight="1" x14ac:dyDescent="0.25"/>
    <row r="954" s="4" customFormat="1" ht="12.75" customHeight="1" x14ac:dyDescent="0.25"/>
    <row r="955" s="4" customFormat="1" ht="12.75" customHeight="1" x14ac:dyDescent="0.25"/>
    <row r="956" s="4" customFormat="1" ht="12.75" customHeight="1" x14ac:dyDescent="0.25"/>
    <row r="957" s="4" customFormat="1" ht="12.75" customHeight="1" x14ac:dyDescent="0.25"/>
    <row r="958" s="4" customFormat="1" ht="12.75" customHeight="1" x14ac:dyDescent="0.25"/>
    <row r="959" s="4" customFormat="1" ht="12.75" customHeight="1" x14ac:dyDescent="0.25"/>
    <row r="960" s="4" customFormat="1" ht="12.75" customHeight="1" x14ac:dyDescent="0.25"/>
    <row r="961" s="4" customFormat="1" ht="12.75" customHeight="1" x14ac:dyDescent="0.25"/>
    <row r="962" s="4" customFormat="1" ht="12.75" customHeight="1" x14ac:dyDescent="0.25"/>
    <row r="963" s="4" customFormat="1" ht="12.75" customHeight="1" x14ac:dyDescent="0.25"/>
    <row r="964" s="4" customFormat="1" ht="12.75" customHeight="1" x14ac:dyDescent="0.25"/>
    <row r="965" s="4" customFormat="1" ht="12.75" customHeight="1" x14ac:dyDescent="0.25"/>
    <row r="966" s="4" customFormat="1" ht="12.75" customHeight="1" x14ac:dyDescent="0.25"/>
    <row r="967" s="4" customFormat="1" ht="12.75" customHeight="1" x14ac:dyDescent="0.25"/>
    <row r="968" s="4" customFormat="1" ht="12.75" customHeight="1" x14ac:dyDescent="0.25"/>
    <row r="969" s="4" customFormat="1" ht="12.75" customHeight="1" x14ac:dyDescent="0.25"/>
    <row r="970" s="4" customFormat="1" ht="12.75" customHeight="1" x14ac:dyDescent="0.25"/>
    <row r="971" s="4" customFormat="1" ht="12.75" customHeight="1" x14ac:dyDescent="0.25"/>
    <row r="972" s="4" customFormat="1" ht="12.75" customHeight="1" x14ac:dyDescent="0.25"/>
    <row r="973" s="4" customFormat="1" ht="12.75" customHeight="1" x14ac:dyDescent="0.25"/>
    <row r="974" s="4" customFormat="1" ht="12.75" customHeight="1" x14ac:dyDescent="0.25"/>
    <row r="975" s="4" customFormat="1" ht="12.75" customHeight="1" x14ac:dyDescent="0.25"/>
    <row r="976" s="4" customFormat="1" ht="12.75" customHeight="1" x14ac:dyDescent="0.25"/>
    <row r="977" s="4" customFormat="1" ht="12.75" customHeight="1" x14ac:dyDescent="0.25"/>
    <row r="978" s="4" customFormat="1" ht="12.75" customHeight="1" x14ac:dyDescent="0.25"/>
    <row r="979" s="4" customFormat="1" ht="12.75" customHeight="1" x14ac:dyDescent="0.25"/>
    <row r="980" s="4" customFormat="1" ht="12.75" customHeight="1" x14ac:dyDescent="0.25"/>
    <row r="981" s="4" customFormat="1" ht="12.75" customHeight="1" x14ac:dyDescent="0.25"/>
    <row r="982" s="4" customFormat="1" ht="12.75" customHeight="1" x14ac:dyDescent="0.25"/>
    <row r="983" s="4" customFormat="1" ht="12.75" customHeight="1" x14ac:dyDescent="0.25"/>
    <row r="984" s="4" customFormat="1" ht="12.75" customHeight="1" x14ac:dyDescent="0.25"/>
    <row r="985" s="4" customFormat="1" ht="12.75" customHeight="1" x14ac:dyDescent="0.25"/>
    <row r="986" s="4" customFormat="1" ht="12.75" customHeight="1" x14ac:dyDescent="0.25"/>
    <row r="987" s="4" customFormat="1" ht="12.75" customHeight="1" x14ac:dyDescent="0.25"/>
    <row r="988" s="4" customFormat="1" ht="12.75" customHeight="1" x14ac:dyDescent="0.25"/>
    <row r="989" s="4" customFormat="1" ht="12.75" customHeight="1" x14ac:dyDescent="0.25"/>
    <row r="990" s="4" customFormat="1" ht="12.75" customHeight="1" x14ac:dyDescent="0.25"/>
    <row r="991" s="4" customFormat="1" ht="12.75" customHeight="1" x14ac:dyDescent="0.25"/>
    <row r="992" s="4" customFormat="1" ht="12.75" customHeight="1" x14ac:dyDescent="0.25"/>
    <row r="993" s="4" customFormat="1" ht="12.75" customHeight="1" x14ac:dyDescent="0.25"/>
    <row r="994" s="4" customFormat="1" ht="12.75" customHeight="1" x14ac:dyDescent="0.25"/>
    <row r="995" s="4" customFormat="1" ht="12.75" customHeight="1" x14ac:dyDescent="0.25"/>
    <row r="996" s="4" customFormat="1" ht="12.75" customHeight="1" x14ac:dyDescent="0.25"/>
    <row r="997" s="4" customFormat="1" ht="12.75" customHeight="1" x14ac:dyDescent="0.25"/>
    <row r="998" s="4" customFormat="1" ht="12.75" customHeight="1" x14ac:dyDescent="0.25"/>
    <row r="999" s="4" customFormat="1" ht="12.75" customHeight="1" x14ac:dyDescent="0.25"/>
    <row r="1000" s="4" customFormat="1" ht="12.75" customHeight="1" x14ac:dyDescent="0.25"/>
    <row r="1001" s="4" customFormat="1" ht="12.75" customHeight="1" x14ac:dyDescent="0.25"/>
    <row r="1002" s="4" customFormat="1" ht="12.75" customHeight="1" x14ac:dyDescent="0.25"/>
    <row r="1003" s="4" customFormat="1" ht="12.75" customHeight="1" x14ac:dyDescent="0.25"/>
  </sheetData>
  <mergeCells count="2">
    <mergeCell ref="A1:J1"/>
    <mergeCell ref="A10:B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25"/>
  <sheetViews>
    <sheetView tabSelected="1" zoomScale="70" zoomScaleNormal="70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845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77</v>
      </c>
      <c r="B8" s="34" t="s">
        <v>78</v>
      </c>
      <c r="C8" s="34" t="s">
        <v>23</v>
      </c>
      <c r="D8" s="34"/>
      <c r="E8" s="34" t="s">
        <v>79</v>
      </c>
      <c r="F8" s="34" t="s">
        <v>80</v>
      </c>
      <c r="G8" s="34"/>
      <c r="H8" s="34"/>
      <c r="I8" s="34"/>
      <c r="J8" s="34"/>
      <c r="K8" s="34"/>
    </row>
    <row r="9" spans="1:11" ht="55.5" customHeight="1" x14ac:dyDescent="0.25">
      <c r="A9" s="34" t="s">
        <v>81</v>
      </c>
      <c r="B9" s="34" t="s">
        <v>82</v>
      </c>
      <c r="C9" s="34" t="s">
        <v>23</v>
      </c>
      <c r="D9" s="34" t="s">
        <v>83</v>
      </c>
      <c r="E9" s="34" t="s">
        <v>84</v>
      </c>
      <c r="F9" s="34" t="s">
        <v>85</v>
      </c>
      <c r="G9" s="34"/>
      <c r="H9" s="34"/>
      <c r="I9" s="34"/>
      <c r="J9" s="34"/>
      <c r="K9" s="34"/>
    </row>
    <row r="10" spans="1:11" ht="55.5" customHeight="1" x14ac:dyDescent="0.25">
      <c r="A10" s="34" t="s">
        <v>86</v>
      </c>
      <c r="B10" s="34" t="s">
        <v>87</v>
      </c>
      <c r="C10" s="34" t="s">
        <v>23</v>
      </c>
      <c r="D10" s="34" t="s">
        <v>88</v>
      </c>
      <c r="E10" s="34" t="s">
        <v>89</v>
      </c>
      <c r="F10" s="34" t="s">
        <v>90</v>
      </c>
      <c r="G10" s="34"/>
      <c r="H10" s="34"/>
      <c r="I10" s="34"/>
      <c r="J10" s="34"/>
      <c r="K10" s="34"/>
    </row>
    <row r="11" spans="1:11" ht="55.5" customHeight="1" x14ac:dyDescent="0.25">
      <c r="A11" s="34" t="s">
        <v>91</v>
      </c>
      <c r="B11" s="34" t="s">
        <v>92</v>
      </c>
      <c r="C11" s="34" t="s">
        <v>23</v>
      </c>
      <c r="D11" s="34" t="s">
        <v>93</v>
      </c>
      <c r="E11" s="17" t="s">
        <v>94</v>
      </c>
      <c r="F11" s="34" t="s">
        <v>95</v>
      </c>
      <c r="G11" s="34"/>
      <c r="H11" s="34"/>
      <c r="I11" s="34"/>
      <c r="J11" s="34"/>
      <c r="K11" s="34"/>
    </row>
    <row r="12" spans="1:11" ht="55.5" customHeight="1" x14ac:dyDescent="0.25">
      <c r="A12" s="34" t="s">
        <v>96</v>
      </c>
      <c r="B12" s="34" t="s">
        <v>97</v>
      </c>
      <c r="C12" s="34" t="s">
        <v>23</v>
      </c>
      <c r="D12" s="34" t="s">
        <v>98</v>
      </c>
      <c r="E12" s="34" t="s">
        <v>99</v>
      </c>
      <c r="F12" s="34" t="s">
        <v>100</v>
      </c>
      <c r="G12" s="34"/>
      <c r="H12" s="34"/>
      <c r="I12" s="34"/>
      <c r="J12" s="34"/>
      <c r="K12" s="34"/>
    </row>
    <row r="13" spans="1:11" ht="55.5" customHeight="1" x14ac:dyDescent="0.25">
      <c r="A13" s="34" t="s">
        <v>101</v>
      </c>
      <c r="B13" s="34" t="s">
        <v>102</v>
      </c>
      <c r="C13" s="34" t="s">
        <v>23</v>
      </c>
      <c r="D13" s="34" t="s">
        <v>103</v>
      </c>
      <c r="E13" s="34" t="s">
        <v>104</v>
      </c>
      <c r="F13" s="34" t="s">
        <v>105</v>
      </c>
      <c r="G13" s="34"/>
      <c r="H13" s="34"/>
      <c r="I13" s="34"/>
      <c r="J13" s="34"/>
      <c r="K13" s="34"/>
    </row>
    <row r="14" spans="1:11" ht="55.5" customHeight="1" x14ac:dyDescent="0.25">
      <c r="A14" s="34" t="s">
        <v>106</v>
      </c>
      <c r="B14" s="34" t="s">
        <v>107</v>
      </c>
      <c r="C14" s="34" t="s">
        <v>23</v>
      </c>
      <c r="D14" s="34" t="s">
        <v>108</v>
      </c>
      <c r="E14" s="34" t="s">
        <v>109</v>
      </c>
      <c r="F14" s="34" t="s">
        <v>110</v>
      </c>
      <c r="G14" s="34"/>
      <c r="H14" s="34"/>
      <c r="I14" s="34"/>
      <c r="J14" s="34"/>
      <c r="K14" s="34"/>
    </row>
    <row r="15" spans="1:11" ht="55.5" customHeight="1" x14ac:dyDescent="0.25">
      <c r="A15" s="34" t="s">
        <v>111</v>
      </c>
      <c r="B15" s="34" t="s">
        <v>112</v>
      </c>
      <c r="C15" s="34" t="s">
        <v>23</v>
      </c>
      <c r="D15" s="34" t="s">
        <v>113</v>
      </c>
      <c r="E15" s="34" t="s">
        <v>114</v>
      </c>
      <c r="F15" s="34" t="s">
        <v>115</v>
      </c>
      <c r="G15" s="34"/>
      <c r="H15" s="34"/>
      <c r="I15" s="34"/>
      <c r="J15" s="34"/>
      <c r="K15" s="34"/>
    </row>
    <row r="16" spans="1:11" ht="55.5" customHeight="1" x14ac:dyDescent="0.25">
      <c r="A16" s="34" t="s">
        <v>116</v>
      </c>
      <c r="B16" s="34" t="s">
        <v>117</v>
      </c>
      <c r="C16" s="34" t="s">
        <v>23</v>
      </c>
      <c r="D16" s="34"/>
      <c r="E16" s="34" t="s">
        <v>118</v>
      </c>
      <c r="F16" s="34" t="s">
        <v>119</v>
      </c>
      <c r="G16" s="34"/>
      <c r="H16" s="34"/>
      <c r="I16" s="34"/>
      <c r="J16" s="34"/>
      <c r="K16" s="34"/>
    </row>
    <row r="17" spans="1:11" ht="115.5" x14ac:dyDescent="0.25">
      <c r="A17" s="34" t="s">
        <v>120</v>
      </c>
      <c r="B17" s="34" t="s">
        <v>121</v>
      </c>
      <c r="C17" s="34" t="s">
        <v>23</v>
      </c>
      <c r="D17" s="34" t="s">
        <v>122</v>
      </c>
      <c r="E17" s="34" t="s">
        <v>123</v>
      </c>
      <c r="F17" s="34" t="s">
        <v>124</v>
      </c>
      <c r="G17" s="34"/>
      <c r="H17" s="34"/>
      <c r="I17" s="34"/>
      <c r="J17" s="34"/>
      <c r="K17" s="34"/>
    </row>
    <row r="18" spans="1:11" ht="66" x14ac:dyDescent="0.25">
      <c r="A18" s="34" t="s">
        <v>125</v>
      </c>
      <c r="B18" s="34" t="s">
        <v>126</v>
      </c>
      <c r="C18" s="34" t="s">
        <v>23</v>
      </c>
      <c r="D18" s="34" t="s">
        <v>127</v>
      </c>
      <c r="E18" s="34" t="s">
        <v>128</v>
      </c>
      <c r="F18" s="34" t="s">
        <v>129</v>
      </c>
      <c r="G18" s="34"/>
      <c r="H18" s="34"/>
      <c r="I18" s="34"/>
      <c r="J18" s="34"/>
      <c r="K18" s="34"/>
    </row>
    <row r="19" spans="1:11" ht="66" x14ac:dyDescent="0.25">
      <c r="A19" s="34" t="s">
        <v>130</v>
      </c>
      <c r="B19" s="34" t="s">
        <v>131</v>
      </c>
      <c r="C19" s="34" t="s">
        <v>23</v>
      </c>
      <c r="D19" s="34" t="s">
        <v>132</v>
      </c>
      <c r="E19" s="34" t="s">
        <v>133</v>
      </c>
      <c r="F19" s="34" t="s">
        <v>134</v>
      </c>
      <c r="G19" s="34"/>
      <c r="H19" s="34"/>
      <c r="I19" s="34"/>
      <c r="J19" s="34"/>
      <c r="K19" s="34"/>
    </row>
    <row r="20" spans="1:11" ht="66" x14ac:dyDescent="0.25">
      <c r="A20" s="34" t="s">
        <v>135</v>
      </c>
      <c r="B20" s="34" t="s">
        <v>136</v>
      </c>
      <c r="C20" s="34" t="s">
        <v>23</v>
      </c>
      <c r="D20" s="34" t="s">
        <v>137</v>
      </c>
      <c r="E20" s="34" t="s">
        <v>138</v>
      </c>
      <c r="F20" s="34" t="s">
        <v>139</v>
      </c>
      <c r="G20" s="34"/>
      <c r="H20" s="34"/>
      <c r="I20" s="34"/>
      <c r="J20" s="34"/>
      <c r="K20" s="34"/>
    </row>
    <row r="21" spans="1:11" ht="66" x14ac:dyDescent="0.25">
      <c r="A21" s="34" t="s">
        <v>140</v>
      </c>
      <c r="B21" s="34" t="s">
        <v>141</v>
      </c>
      <c r="C21" s="34" t="s">
        <v>23</v>
      </c>
      <c r="D21" s="34" t="s">
        <v>142</v>
      </c>
      <c r="E21" s="34" t="s">
        <v>143</v>
      </c>
      <c r="F21" s="34" t="s">
        <v>144</v>
      </c>
      <c r="G21" s="34"/>
      <c r="H21" s="34"/>
      <c r="I21" s="34"/>
      <c r="J21" s="34"/>
      <c r="K21" s="34"/>
    </row>
    <row r="22" spans="1:11" ht="66" x14ac:dyDescent="0.25">
      <c r="A22" s="34" t="s">
        <v>145</v>
      </c>
      <c r="B22" s="34" t="s">
        <v>146</v>
      </c>
      <c r="C22" s="34" t="s">
        <v>23</v>
      </c>
      <c r="D22" s="34" t="s">
        <v>147</v>
      </c>
      <c r="E22" s="34" t="s">
        <v>148</v>
      </c>
      <c r="F22" s="34" t="s">
        <v>149</v>
      </c>
      <c r="G22" s="34"/>
      <c r="H22" s="34"/>
      <c r="I22" s="34"/>
      <c r="J22" s="34"/>
      <c r="K22" s="34"/>
    </row>
    <row r="23" spans="1:11" ht="49.5" x14ac:dyDescent="0.25">
      <c r="A23" s="34" t="s">
        <v>150</v>
      </c>
      <c r="B23" s="34" t="s">
        <v>151</v>
      </c>
      <c r="C23" s="34" t="s">
        <v>23</v>
      </c>
      <c r="D23" s="34" t="s">
        <v>152</v>
      </c>
      <c r="E23" s="34" t="s">
        <v>153</v>
      </c>
      <c r="F23" s="34" t="s">
        <v>154</v>
      </c>
      <c r="G23" s="34"/>
      <c r="H23" s="34"/>
      <c r="I23" s="34"/>
      <c r="J23" s="34"/>
      <c r="K23" s="34"/>
    </row>
    <row r="24" spans="1:11" ht="49.5" x14ac:dyDescent="0.25">
      <c r="A24" s="34" t="s">
        <v>155</v>
      </c>
      <c r="B24" s="34" t="s">
        <v>156</v>
      </c>
      <c r="C24" s="34" t="s">
        <v>23</v>
      </c>
      <c r="D24" s="34"/>
      <c r="E24" s="34" t="s">
        <v>157</v>
      </c>
      <c r="F24" s="34" t="s">
        <v>158</v>
      </c>
      <c r="G24" s="34"/>
      <c r="H24" s="34"/>
      <c r="I24" s="34"/>
      <c r="J24" s="34"/>
      <c r="K24" s="34"/>
    </row>
    <row r="25" spans="1:11" ht="49.5" x14ac:dyDescent="0.25">
      <c r="A25" s="34" t="s">
        <v>159</v>
      </c>
      <c r="B25" s="34" t="s">
        <v>160</v>
      </c>
      <c r="C25" s="34" t="s">
        <v>23</v>
      </c>
      <c r="D25" s="34"/>
      <c r="E25" s="34" t="s">
        <v>161</v>
      </c>
      <c r="F25" s="34" t="s">
        <v>162</v>
      </c>
      <c r="G25" s="34"/>
      <c r="H25" s="34"/>
      <c r="I25" s="34"/>
      <c r="J25" s="34"/>
      <c r="K25" s="3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844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21</v>
      </c>
      <c r="B8" s="34" t="s">
        <v>22</v>
      </c>
      <c r="C8" s="34" t="s">
        <v>23</v>
      </c>
      <c r="D8" s="34" t="s">
        <v>24</v>
      </c>
      <c r="E8" s="34" t="s">
        <v>25</v>
      </c>
      <c r="F8" s="34" t="s">
        <v>26</v>
      </c>
      <c r="G8" s="34"/>
      <c r="H8" s="34"/>
      <c r="I8" s="34"/>
      <c r="J8" s="34"/>
      <c r="K8" s="34"/>
    </row>
    <row r="9" spans="1:11" ht="55.5" customHeight="1" x14ac:dyDescent="0.25">
      <c r="A9" s="34" t="s">
        <v>27</v>
      </c>
      <c r="B9" s="34" t="s">
        <v>28</v>
      </c>
      <c r="C9" s="34" t="s">
        <v>23</v>
      </c>
      <c r="D9" s="34" t="s">
        <v>29</v>
      </c>
      <c r="E9" s="34" t="s">
        <v>30</v>
      </c>
      <c r="F9" s="34" t="s">
        <v>31</v>
      </c>
      <c r="G9" s="34"/>
      <c r="H9" s="34"/>
      <c r="I9" s="34"/>
      <c r="J9" s="34"/>
      <c r="K9" s="34"/>
    </row>
    <row r="10" spans="1:11" ht="55.5" customHeight="1" x14ac:dyDescent="0.25">
      <c r="A10" s="34" t="s">
        <v>32</v>
      </c>
      <c r="B10" s="34" t="s">
        <v>33</v>
      </c>
      <c r="C10" s="34" t="s">
        <v>23</v>
      </c>
      <c r="D10" s="34" t="s">
        <v>34</v>
      </c>
      <c r="E10" s="34" t="s">
        <v>35</v>
      </c>
      <c r="F10" s="34" t="s">
        <v>36</v>
      </c>
      <c r="G10" s="34"/>
      <c r="H10" s="34"/>
      <c r="I10" s="34"/>
      <c r="J10" s="34"/>
      <c r="K10" s="34"/>
    </row>
    <row r="11" spans="1:11" ht="55.5" customHeight="1" x14ac:dyDescent="0.25">
      <c r="A11" s="34" t="s">
        <v>37</v>
      </c>
      <c r="B11" s="34" t="s">
        <v>38</v>
      </c>
      <c r="C11" s="34" t="s">
        <v>23</v>
      </c>
      <c r="D11" s="34" t="s">
        <v>39</v>
      </c>
      <c r="E11" s="17" t="s">
        <v>40</v>
      </c>
      <c r="F11" s="34" t="s">
        <v>41</v>
      </c>
      <c r="G11" s="34"/>
      <c r="H11" s="34"/>
      <c r="I11" s="34"/>
      <c r="J11" s="34"/>
      <c r="K11" s="34"/>
    </row>
    <row r="12" spans="1:11" ht="55.5" customHeight="1" x14ac:dyDescent="0.25">
      <c r="A12" s="34" t="s">
        <v>42</v>
      </c>
      <c r="B12" s="34" t="s">
        <v>43</v>
      </c>
      <c r="C12" s="34" t="s">
        <v>23</v>
      </c>
      <c r="D12" s="34" t="s">
        <v>44</v>
      </c>
      <c r="E12" s="34" t="s">
        <v>45</v>
      </c>
      <c r="F12" s="34" t="s">
        <v>46</v>
      </c>
      <c r="G12" s="34"/>
      <c r="H12" s="34"/>
      <c r="I12" s="34"/>
      <c r="J12" s="34"/>
      <c r="K12" s="34"/>
    </row>
    <row r="13" spans="1:11" ht="55.5" customHeight="1" x14ac:dyDescent="0.25">
      <c r="A13" s="34" t="s">
        <v>47</v>
      </c>
      <c r="B13" s="34" t="s">
        <v>48</v>
      </c>
      <c r="C13" s="34" t="s">
        <v>23</v>
      </c>
      <c r="D13" s="34" t="s">
        <v>24</v>
      </c>
      <c r="E13" s="34" t="s">
        <v>49</v>
      </c>
      <c r="F13" s="34" t="s">
        <v>50</v>
      </c>
      <c r="G13" s="34"/>
      <c r="H13" s="34"/>
      <c r="I13" s="34"/>
      <c r="J13" s="34"/>
      <c r="K13" s="34"/>
    </row>
    <row r="14" spans="1:11" ht="55.5" customHeight="1" x14ac:dyDescent="0.25">
      <c r="A14" s="34" t="s">
        <v>51</v>
      </c>
      <c r="B14" s="34" t="s">
        <v>52</v>
      </c>
      <c r="C14" s="34" t="s">
        <v>23</v>
      </c>
      <c r="D14" s="34" t="s">
        <v>53</v>
      </c>
      <c r="E14" s="34" t="s">
        <v>54</v>
      </c>
      <c r="F14" s="34" t="s">
        <v>55</v>
      </c>
      <c r="G14" s="34"/>
      <c r="H14" s="34"/>
      <c r="I14" s="34"/>
      <c r="J14" s="34"/>
      <c r="K14" s="34"/>
    </row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7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844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163</v>
      </c>
      <c r="B8" s="34" t="s">
        <v>164</v>
      </c>
      <c r="C8" s="34" t="s">
        <v>23</v>
      </c>
      <c r="D8" s="34" t="s">
        <v>165</v>
      </c>
      <c r="E8" s="34" t="s">
        <v>166</v>
      </c>
      <c r="F8" s="34" t="s">
        <v>167</v>
      </c>
      <c r="G8" s="34"/>
      <c r="H8" s="34"/>
      <c r="I8" s="34"/>
      <c r="J8" s="34"/>
      <c r="K8" s="34"/>
    </row>
    <row r="9" spans="1:11" ht="55.5" customHeight="1" x14ac:dyDescent="0.25">
      <c r="A9" s="34" t="s">
        <v>168</v>
      </c>
      <c r="B9" s="34" t="s">
        <v>169</v>
      </c>
      <c r="C9" s="34" t="s">
        <v>23</v>
      </c>
      <c r="D9" s="34" t="s">
        <v>170</v>
      </c>
      <c r="E9" s="34" t="s">
        <v>171</v>
      </c>
      <c r="F9" s="34" t="s">
        <v>172</v>
      </c>
      <c r="G9" s="34"/>
      <c r="H9" s="34"/>
      <c r="I9" s="34"/>
      <c r="J9" s="34"/>
      <c r="K9" s="34"/>
    </row>
    <row r="10" spans="1:11" ht="55.5" customHeight="1" x14ac:dyDescent="0.25">
      <c r="A10" s="34" t="s">
        <v>173</v>
      </c>
      <c r="B10" s="34" t="s">
        <v>174</v>
      </c>
      <c r="C10" s="34" t="s">
        <v>23</v>
      </c>
      <c r="D10" s="34" t="s">
        <v>175</v>
      </c>
      <c r="E10" s="34" t="s">
        <v>176</v>
      </c>
      <c r="F10" s="34" t="s">
        <v>177</v>
      </c>
      <c r="G10" s="34"/>
      <c r="H10" s="34"/>
      <c r="I10" s="34"/>
      <c r="J10" s="34"/>
      <c r="K10" s="34"/>
    </row>
    <row r="11" spans="1:11" ht="55.5" customHeight="1" x14ac:dyDescent="0.25">
      <c r="A11" s="34" t="s">
        <v>178</v>
      </c>
      <c r="B11" s="34" t="s">
        <v>179</v>
      </c>
      <c r="C11" s="34" t="s">
        <v>23</v>
      </c>
      <c r="D11" s="34" t="s">
        <v>180</v>
      </c>
      <c r="E11" s="17" t="s">
        <v>181</v>
      </c>
      <c r="F11" s="34" t="s">
        <v>182</v>
      </c>
      <c r="G11" s="34"/>
      <c r="H11" s="34"/>
      <c r="I11" s="34"/>
      <c r="J11" s="34"/>
      <c r="K11" s="34"/>
    </row>
    <row r="12" spans="1:11" ht="55.5" customHeight="1" x14ac:dyDescent="0.25">
      <c r="A12" s="34" t="s">
        <v>183</v>
      </c>
      <c r="B12" s="34" t="s">
        <v>184</v>
      </c>
      <c r="C12" s="34" t="s">
        <v>23</v>
      </c>
      <c r="D12" s="34" t="s">
        <v>185</v>
      </c>
      <c r="E12" s="34" t="s">
        <v>186</v>
      </c>
      <c r="F12" s="34" t="s">
        <v>187</v>
      </c>
      <c r="G12" s="34"/>
      <c r="H12" s="34"/>
      <c r="I12" s="34"/>
      <c r="J12" s="34"/>
      <c r="K12" s="34"/>
    </row>
    <row r="13" spans="1:11" ht="55.5" customHeight="1" x14ac:dyDescent="0.25">
      <c r="A13" s="34" t="s">
        <v>188</v>
      </c>
      <c r="B13" s="34" t="s">
        <v>189</v>
      </c>
      <c r="C13" s="34" t="s">
        <v>23</v>
      </c>
      <c r="D13" s="34" t="s">
        <v>190</v>
      </c>
      <c r="E13" s="34" t="s">
        <v>191</v>
      </c>
      <c r="F13" s="34" t="s">
        <v>192</v>
      </c>
      <c r="G13" s="34"/>
      <c r="H13" s="34"/>
      <c r="I13" s="34"/>
      <c r="J13" s="34"/>
      <c r="K13" s="34"/>
    </row>
    <row r="14" spans="1:11" ht="55.5" customHeight="1" x14ac:dyDescent="0.25">
      <c r="A14" s="34" t="s">
        <v>193</v>
      </c>
      <c r="B14" s="34" t="s">
        <v>194</v>
      </c>
      <c r="C14" s="34" t="s">
        <v>23</v>
      </c>
      <c r="D14" s="34" t="s">
        <v>195</v>
      </c>
      <c r="E14" s="34" t="s">
        <v>196</v>
      </c>
      <c r="F14" s="34" t="s">
        <v>197</v>
      </c>
      <c r="G14" s="34"/>
      <c r="H14" s="34"/>
      <c r="I14" s="34"/>
      <c r="J14" s="34"/>
      <c r="K14" s="34"/>
    </row>
    <row r="15" spans="1:11" ht="55.5" customHeight="1" x14ac:dyDescent="0.25">
      <c r="A15" s="34" t="s">
        <v>198</v>
      </c>
      <c r="B15" s="34" t="s">
        <v>199</v>
      </c>
      <c r="C15" s="34" t="s">
        <v>23</v>
      </c>
      <c r="D15" s="34" t="s">
        <v>200</v>
      </c>
      <c r="E15" s="34" t="s">
        <v>201</v>
      </c>
      <c r="F15" s="34" t="s">
        <v>202</v>
      </c>
      <c r="G15" s="34"/>
      <c r="H15" s="34"/>
      <c r="I15" s="34"/>
      <c r="J15" s="34"/>
      <c r="K15" s="34"/>
    </row>
    <row r="16" spans="1:11" ht="55.5" customHeight="1" x14ac:dyDescent="0.25">
      <c r="A16" s="34" t="s">
        <v>203</v>
      </c>
      <c r="B16" s="34" t="s">
        <v>204</v>
      </c>
      <c r="C16" s="34" t="s">
        <v>23</v>
      </c>
      <c r="D16" s="34" t="s">
        <v>205</v>
      </c>
      <c r="E16" s="34" t="s">
        <v>206</v>
      </c>
      <c r="F16" s="34" t="s">
        <v>207</v>
      </c>
      <c r="G16" s="34"/>
      <c r="H16" s="34"/>
      <c r="I16" s="34"/>
      <c r="J16" s="34"/>
      <c r="K16" s="34"/>
    </row>
    <row r="17" spans="1:11" ht="49.5" x14ac:dyDescent="0.25">
      <c r="A17" s="34" t="s">
        <v>208</v>
      </c>
      <c r="B17" s="34" t="s">
        <v>209</v>
      </c>
      <c r="C17" s="34" t="s">
        <v>23</v>
      </c>
      <c r="D17" s="34" t="s">
        <v>210</v>
      </c>
      <c r="E17" s="34" t="s">
        <v>211</v>
      </c>
      <c r="F17" s="34" t="s">
        <v>212</v>
      </c>
      <c r="G17" s="34"/>
      <c r="H17" s="34"/>
      <c r="I17" s="34"/>
      <c r="J17" s="34"/>
      <c r="K17" s="3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23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213</v>
      </c>
      <c r="B8" s="34" t="s">
        <v>214</v>
      </c>
      <c r="C8" s="34" t="s">
        <v>23</v>
      </c>
      <c r="D8" s="34" t="s">
        <v>215</v>
      </c>
      <c r="E8" s="34" t="s">
        <v>216</v>
      </c>
      <c r="F8" s="34" t="s">
        <v>217</v>
      </c>
      <c r="G8" s="34"/>
      <c r="H8" s="34"/>
      <c r="I8" s="34"/>
      <c r="J8" s="34"/>
      <c r="K8" s="34"/>
    </row>
    <row r="9" spans="1:11" ht="55.5" customHeight="1" x14ac:dyDescent="0.25">
      <c r="A9" s="34" t="s">
        <v>218</v>
      </c>
      <c r="B9" s="34" t="s">
        <v>219</v>
      </c>
      <c r="C9" s="34" t="s">
        <v>23</v>
      </c>
      <c r="D9" s="34" t="s">
        <v>220</v>
      </c>
      <c r="E9" s="34" t="s">
        <v>221</v>
      </c>
      <c r="F9" s="34" t="s">
        <v>222</v>
      </c>
      <c r="G9" s="34"/>
      <c r="H9" s="34"/>
      <c r="I9" s="34"/>
      <c r="J9" s="34"/>
      <c r="K9" s="34"/>
    </row>
    <row r="10" spans="1:11" ht="55.5" customHeight="1" x14ac:dyDescent="0.25">
      <c r="A10" s="34" t="s">
        <v>223</v>
      </c>
      <c r="B10" s="34" t="s">
        <v>224</v>
      </c>
      <c r="C10" s="34" t="s">
        <v>23</v>
      </c>
      <c r="D10" s="34" t="s">
        <v>225</v>
      </c>
      <c r="E10" s="34" t="s">
        <v>226</v>
      </c>
      <c r="F10" s="34" t="s">
        <v>227</v>
      </c>
      <c r="G10" s="34"/>
      <c r="H10" s="34"/>
      <c r="I10" s="34"/>
      <c r="J10" s="34"/>
      <c r="K10" s="34"/>
    </row>
    <row r="11" spans="1:11" ht="55.5" customHeight="1" x14ac:dyDescent="0.25">
      <c r="A11" s="34" t="s">
        <v>228</v>
      </c>
      <c r="B11" s="34" t="s">
        <v>229</v>
      </c>
      <c r="C11" s="34" t="s">
        <v>23</v>
      </c>
      <c r="D11" s="34" t="s">
        <v>230</v>
      </c>
      <c r="E11" s="17" t="s">
        <v>231</v>
      </c>
      <c r="F11" s="34" t="s">
        <v>232</v>
      </c>
      <c r="G11" s="34"/>
      <c r="H11" s="34"/>
      <c r="I11" s="34"/>
      <c r="J11" s="34"/>
      <c r="K11" s="34"/>
    </row>
    <row r="12" spans="1:11" ht="55.5" customHeight="1" x14ac:dyDescent="0.25">
      <c r="A12" s="34" t="s">
        <v>233</v>
      </c>
      <c r="B12" s="34" t="s">
        <v>234</v>
      </c>
      <c r="C12" s="34" t="s">
        <v>23</v>
      </c>
      <c r="D12" s="34" t="s">
        <v>235</v>
      </c>
      <c r="E12" s="34" t="s">
        <v>236</v>
      </c>
      <c r="F12" s="34" t="s">
        <v>237</v>
      </c>
      <c r="G12" s="34"/>
      <c r="H12" s="34"/>
      <c r="I12" s="34"/>
      <c r="J12" s="34"/>
      <c r="K12" s="34"/>
    </row>
    <row r="13" spans="1:11" ht="55.5" customHeight="1" x14ac:dyDescent="0.25">
      <c r="A13" s="34" t="s">
        <v>238</v>
      </c>
      <c r="B13" s="34" t="s">
        <v>239</v>
      </c>
      <c r="C13" s="34" t="s">
        <v>23</v>
      </c>
      <c r="D13" s="34" t="s">
        <v>240</v>
      </c>
      <c r="E13" s="34" t="s">
        <v>241</v>
      </c>
      <c r="F13" s="34" t="s">
        <v>242</v>
      </c>
      <c r="G13" s="34"/>
      <c r="H13" s="34"/>
      <c r="I13" s="34"/>
      <c r="J13" s="34"/>
      <c r="K13" s="34"/>
    </row>
    <row r="14" spans="1:11" ht="55.5" customHeight="1" x14ac:dyDescent="0.25">
      <c r="A14" s="34" t="s">
        <v>243</v>
      </c>
      <c r="B14" s="34" t="s">
        <v>244</v>
      </c>
      <c r="C14" s="34" t="s">
        <v>23</v>
      </c>
      <c r="D14" s="34" t="s">
        <v>245</v>
      </c>
      <c r="E14" s="34" t="s">
        <v>246</v>
      </c>
      <c r="F14" s="34" t="s">
        <v>139</v>
      </c>
      <c r="G14" s="34"/>
      <c r="H14" s="34"/>
      <c r="I14" s="34"/>
      <c r="J14" s="34"/>
      <c r="K14" s="34"/>
    </row>
    <row r="15" spans="1:11" ht="55.5" customHeight="1" x14ac:dyDescent="0.25">
      <c r="A15" s="34" t="s">
        <v>247</v>
      </c>
      <c r="B15" s="34" t="s">
        <v>248</v>
      </c>
      <c r="C15" s="34" t="s">
        <v>23</v>
      </c>
      <c r="D15" s="34" t="s">
        <v>249</v>
      </c>
      <c r="E15" s="34" t="s">
        <v>250</v>
      </c>
      <c r="F15" s="34" t="s">
        <v>251</v>
      </c>
      <c r="G15" s="34"/>
      <c r="H15" s="34"/>
      <c r="I15" s="34"/>
      <c r="J15" s="34"/>
      <c r="K15" s="34"/>
    </row>
    <row r="16" spans="1:11" ht="55.5" customHeight="1" x14ac:dyDescent="0.25">
      <c r="A16" s="34" t="s">
        <v>252</v>
      </c>
      <c r="B16" s="34" t="s">
        <v>253</v>
      </c>
      <c r="C16" s="34" t="s">
        <v>23</v>
      </c>
      <c r="D16" s="34" t="s">
        <v>254</v>
      </c>
      <c r="E16" s="34" t="s">
        <v>255</v>
      </c>
      <c r="F16" s="34" t="s">
        <v>139</v>
      </c>
      <c r="G16" s="34"/>
      <c r="H16" s="34"/>
      <c r="I16" s="34"/>
      <c r="J16" s="34"/>
      <c r="K16" s="34"/>
    </row>
    <row r="17" spans="1:11" ht="49.5" x14ac:dyDescent="0.25">
      <c r="A17" s="34" t="s">
        <v>256</v>
      </c>
      <c r="B17" s="34" t="s">
        <v>257</v>
      </c>
      <c r="C17" s="34" t="s">
        <v>23</v>
      </c>
      <c r="D17" s="34" t="s">
        <v>258</v>
      </c>
      <c r="E17" s="34" t="s">
        <v>259</v>
      </c>
      <c r="F17" s="34" t="s">
        <v>139</v>
      </c>
      <c r="G17" s="34"/>
      <c r="H17" s="34"/>
      <c r="I17" s="34"/>
      <c r="J17" s="34"/>
      <c r="K17" s="34"/>
    </row>
    <row r="18" spans="1:11" ht="49.5" x14ac:dyDescent="0.25">
      <c r="A18" s="34" t="s">
        <v>260</v>
      </c>
      <c r="B18" s="34" t="s">
        <v>261</v>
      </c>
      <c r="C18" s="34" t="s">
        <v>23</v>
      </c>
      <c r="D18" s="34" t="s">
        <v>262</v>
      </c>
      <c r="E18" s="34" t="s">
        <v>263</v>
      </c>
      <c r="F18" s="34" t="s">
        <v>139</v>
      </c>
      <c r="G18" s="34"/>
      <c r="H18" s="34"/>
      <c r="I18" s="34"/>
      <c r="J18" s="34"/>
      <c r="K18" s="34"/>
    </row>
    <row r="19" spans="1:11" ht="49.5" x14ac:dyDescent="0.25">
      <c r="A19" s="34" t="s">
        <v>264</v>
      </c>
      <c r="B19" s="34" t="s">
        <v>265</v>
      </c>
      <c r="C19" s="34" t="s">
        <v>23</v>
      </c>
      <c r="D19" s="34" t="s">
        <v>266</v>
      </c>
      <c r="E19" s="34" t="s">
        <v>267</v>
      </c>
      <c r="F19" s="34" t="s">
        <v>134</v>
      </c>
      <c r="G19" s="34"/>
      <c r="H19" s="34"/>
      <c r="I19" s="34"/>
      <c r="J19" s="34"/>
      <c r="K19" s="34"/>
    </row>
    <row r="20" spans="1:11" ht="49.5" x14ac:dyDescent="0.25">
      <c r="A20" s="34" t="s">
        <v>268</v>
      </c>
      <c r="B20" s="34" t="s">
        <v>269</v>
      </c>
      <c r="C20" s="34" t="s">
        <v>23</v>
      </c>
      <c r="D20" s="34" t="s">
        <v>270</v>
      </c>
      <c r="E20" s="34" t="s">
        <v>271</v>
      </c>
      <c r="F20" s="34" t="s">
        <v>134</v>
      </c>
      <c r="G20" s="34"/>
      <c r="H20" s="34"/>
      <c r="I20" s="34"/>
      <c r="J20" s="34"/>
      <c r="K20" s="34"/>
    </row>
    <row r="21" spans="1:11" ht="49.5" x14ac:dyDescent="0.25">
      <c r="A21" s="34" t="s">
        <v>272</v>
      </c>
      <c r="B21" s="34" t="s">
        <v>273</v>
      </c>
      <c r="C21" s="34" t="s">
        <v>23</v>
      </c>
      <c r="D21" s="34" t="s">
        <v>274</v>
      </c>
      <c r="E21" s="34" t="s">
        <v>275</v>
      </c>
      <c r="F21" s="34" t="s">
        <v>134</v>
      </c>
      <c r="G21" s="34"/>
      <c r="H21" s="34"/>
      <c r="I21" s="34"/>
      <c r="J21" s="34"/>
      <c r="K21" s="34"/>
    </row>
    <row r="22" spans="1:11" ht="49.5" x14ac:dyDescent="0.25">
      <c r="A22" s="34" t="s">
        <v>276</v>
      </c>
      <c r="B22" s="34" t="s">
        <v>277</v>
      </c>
      <c r="C22" s="34" t="s">
        <v>23</v>
      </c>
      <c r="D22" s="34" t="s">
        <v>278</v>
      </c>
      <c r="E22" s="34" t="s">
        <v>279</v>
      </c>
      <c r="F22" s="34" t="s">
        <v>280</v>
      </c>
      <c r="G22" s="34"/>
      <c r="H22" s="34"/>
      <c r="I22" s="34"/>
      <c r="J22" s="34"/>
      <c r="K22" s="34"/>
    </row>
    <row r="23" spans="1:11" ht="49.5" x14ac:dyDescent="0.25">
      <c r="A23" s="34" t="s">
        <v>281</v>
      </c>
      <c r="B23" s="34" t="s">
        <v>282</v>
      </c>
      <c r="C23" s="34" t="s">
        <v>23</v>
      </c>
      <c r="D23" s="34" t="s">
        <v>283</v>
      </c>
      <c r="E23" s="34" t="s">
        <v>284</v>
      </c>
      <c r="F23" s="34" t="s">
        <v>285</v>
      </c>
      <c r="G23" s="34"/>
      <c r="H23" s="34"/>
      <c r="I23" s="34"/>
      <c r="J23" s="34"/>
      <c r="K23" s="3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286</v>
      </c>
      <c r="B8" s="34" t="s">
        <v>287</v>
      </c>
      <c r="C8" s="34" t="s">
        <v>23</v>
      </c>
      <c r="D8" s="34" t="s">
        <v>288</v>
      </c>
      <c r="E8" s="34" t="s">
        <v>289</v>
      </c>
      <c r="F8" s="34" t="s">
        <v>290</v>
      </c>
      <c r="G8" s="34"/>
      <c r="H8" s="34"/>
      <c r="I8" s="34"/>
      <c r="J8" s="34"/>
      <c r="K8" s="34"/>
    </row>
    <row r="9" spans="1:11" ht="55.5" customHeight="1" x14ac:dyDescent="0.25">
      <c r="A9" s="34" t="s">
        <v>291</v>
      </c>
      <c r="B9" s="34" t="s">
        <v>292</v>
      </c>
      <c r="C9" s="34" t="s">
        <v>23</v>
      </c>
      <c r="D9" s="34" t="s">
        <v>293</v>
      </c>
      <c r="E9" s="34" t="s">
        <v>294</v>
      </c>
      <c r="F9" s="34" t="s">
        <v>295</v>
      </c>
      <c r="G9" s="34"/>
      <c r="H9" s="34"/>
      <c r="I9" s="34"/>
      <c r="J9" s="34"/>
      <c r="K9" s="34"/>
    </row>
    <row r="10" spans="1:11" ht="55.5" customHeight="1" x14ac:dyDescent="0.25">
      <c r="A10" s="34" t="s">
        <v>296</v>
      </c>
      <c r="B10" s="34" t="s">
        <v>297</v>
      </c>
      <c r="C10" s="34" t="s">
        <v>23</v>
      </c>
      <c r="D10" s="34" t="s">
        <v>298</v>
      </c>
      <c r="E10" s="34" t="s">
        <v>299</v>
      </c>
      <c r="F10" s="34" t="s">
        <v>300</v>
      </c>
      <c r="G10" s="34"/>
      <c r="H10" s="34"/>
      <c r="I10" s="34"/>
      <c r="J10" s="34"/>
      <c r="K10" s="34"/>
    </row>
    <row r="11" spans="1:11" ht="55.5" customHeight="1" x14ac:dyDescent="0.25">
      <c r="A11" s="34" t="s">
        <v>301</v>
      </c>
      <c r="B11" s="34" t="s">
        <v>302</v>
      </c>
      <c r="C11" s="34" t="s">
        <v>23</v>
      </c>
      <c r="D11" s="34" t="s">
        <v>303</v>
      </c>
      <c r="E11" s="17" t="s">
        <v>304</v>
      </c>
      <c r="F11" s="34" t="s">
        <v>305</v>
      </c>
      <c r="G11" s="34"/>
      <c r="H11" s="34"/>
      <c r="I11" s="34"/>
      <c r="J11" s="34"/>
      <c r="K11" s="34"/>
    </row>
    <row r="12" spans="1:11" ht="55.5" customHeight="1" x14ac:dyDescent="0.25">
      <c r="A12" s="34" t="s">
        <v>306</v>
      </c>
      <c r="B12" s="34" t="s">
        <v>307</v>
      </c>
      <c r="C12" s="34" t="s">
        <v>23</v>
      </c>
      <c r="D12" s="34" t="s">
        <v>308</v>
      </c>
      <c r="E12" s="34" t="s">
        <v>309</v>
      </c>
      <c r="F12" s="34" t="s">
        <v>310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311</v>
      </c>
      <c r="B8" s="34" t="s">
        <v>312</v>
      </c>
      <c r="C8" s="34" t="s">
        <v>23</v>
      </c>
      <c r="D8" s="34" t="s">
        <v>313</v>
      </c>
      <c r="E8" s="34" t="s">
        <v>314</v>
      </c>
      <c r="F8" s="34" t="s">
        <v>315</v>
      </c>
      <c r="G8" s="34"/>
      <c r="H8" s="34"/>
      <c r="I8" s="34"/>
      <c r="J8" s="34"/>
      <c r="K8" s="34"/>
    </row>
    <row r="9" spans="1:11" ht="55.5" customHeight="1" x14ac:dyDescent="0.25">
      <c r="A9" s="34" t="s">
        <v>316</v>
      </c>
      <c r="B9" s="34" t="s">
        <v>317</v>
      </c>
      <c r="C9" s="34" t="s">
        <v>23</v>
      </c>
      <c r="D9" s="34" t="s">
        <v>318</v>
      </c>
      <c r="E9" s="34" t="s">
        <v>319</v>
      </c>
      <c r="F9" s="34" t="s">
        <v>320</v>
      </c>
      <c r="G9" s="34"/>
      <c r="H9" s="34"/>
      <c r="I9" s="34"/>
      <c r="J9" s="34"/>
      <c r="K9" s="34"/>
    </row>
    <row r="10" spans="1:11" ht="55.5" customHeight="1" x14ac:dyDescent="0.25">
      <c r="A10" s="34" t="s">
        <v>321</v>
      </c>
      <c r="B10" s="34" t="s">
        <v>322</v>
      </c>
      <c r="C10" s="34" t="s">
        <v>23</v>
      </c>
      <c r="D10" s="34" t="s">
        <v>323</v>
      </c>
      <c r="E10" s="34" t="s">
        <v>324</v>
      </c>
      <c r="F10" s="34" t="s">
        <v>325</v>
      </c>
      <c r="G10" s="34"/>
      <c r="H10" s="34"/>
      <c r="I10" s="34"/>
      <c r="J10" s="34"/>
      <c r="K10" s="34"/>
    </row>
    <row r="11" spans="1:11" ht="55.5" customHeight="1" x14ac:dyDescent="0.25">
      <c r="A11" s="34" t="s">
        <v>326</v>
      </c>
      <c r="B11" s="34" t="s">
        <v>327</v>
      </c>
      <c r="C11" s="34" t="s">
        <v>23</v>
      </c>
      <c r="D11" s="34" t="s">
        <v>328</v>
      </c>
      <c r="E11" s="17" t="s">
        <v>329</v>
      </c>
      <c r="F11" s="34" t="s">
        <v>330</v>
      </c>
      <c r="G11" s="34"/>
      <c r="H11" s="34"/>
      <c r="I11" s="34"/>
      <c r="J11" s="34"/>
      <c r="K11" s="34"/>
    </row>
    <row r="12" spans="1:11" ht="55.5" customHeight="1" x14ac:dyDescent="0.25">
      <c r="A12" s="34" t="s">
        <v>331</v>
      </c>
      <c r="B12" s="34" t="s">
        <v>332</v>
      </c>
      <c r="C12" s="34" t="s">
        <v>23</v>
      </c>
      <c r="D12" s="34" t="s">
        <v>333</v>
      </c>
      <c r="E12" s="34" t="s">
        <v>334</v>
      </c>
      <c r="F12" s="34" t="s">
        <v>335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845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336</v>
      </c>
      <c r="B8" s="34" t="s">
        <v>337</v>
      </c>
      <c r="C8" s="34" t="s">
        <v>23</v>
      </c>
      <c r="D8" s="34"/>
      <c r="E8" s="34" t="s">
        <v>338</v>
      </c>
      <c r="F8" s="34" t="s">
        <v>339</v>
      </c>
      <c r="G8" s="34"/>
      <c r="H8" s="34"/>
      <c r="I8" s="34"/>
      <c r="J8" s="34"/>
      <c r="K8" s="34"/>
    </row>
    <row r="9" spans="1:11" ht="55.5" customHeight="1" x14ac:dyDescent="0.25">
      <c r="A9" s="34" t="s">
        <v>340</v>
      </c>
      <c r="B9" s="34" t="s">
        <v>341</v>
      </c>
      <c r="C9" s="34" t="s">
        <v>23</v>
      </c>
      <c r="D9" s="34" t="s">
        <v>342</v>
      </c>
      <c r="E9" s="34" t="s">
        <v>343</v>
      </c>
      <c r="F9" s="34" t="s">
        <v>344</v>
      </c>
      <c r="G9" s="34"/>
      <c r="H9" s="34"/>
      <c r="I9" s="34"/>
      <c r="J9" s="34"/>
      <c r="K9" s="34"/>
    </row>
    <row r="10" spans="1:11" ht="55.5" customHeight="1" x14ac:dyDescent="0.25">
      <c r="A10" s="34" t="s">
        <v>345</v>
      </c>
      <c r="B10" s="34" t="s">
        <v>346</v>
      </c>
      <c r="C10" s="34" t="s">
        <v>23</v>
      </c>
      <c r="D10" s="34" t="s">
        <v>347</v>
      </c>
      <c r="E10" s="34" t="s">
        <v>348</v>
      </c>
      <c r="F10" s="34" t="s">
        <v>349</v>
      </c>
      <c r="G10" s="34"/>
      <c r="H10" s="34"/>
      <c r="I10" s="34"/>
      <c r="J10" s="34"/>
      <c r="K10" s="34"/>
    </row>
    <row r="11" spans="1:11" ht="55.5" customHeight="1" x14ac:dyDescent="0.25">
      <c r="A11" s="34" t="s">
        <v>350</v>
      </c>
      <c r="B11" s="34" t="s">
        <v>351</v>
      </c>
      <c r="C11" s="34" t="s">
        <v>23</v>
      </c>
      <c r="D11" s="34" t="s">
        <v>352</v>
      </c>
      <c r="E11" s="17" t="s">
        <v>353</v>
      </c>
      <c r="F11" s="34" t="s">
        <v>354</v>
      </c>
      <c r="G11" s="34"/>
      <c r="H11" s="34"/>
      <c r="I11" s="34"/>
      <c r="J11" s="34"/>
      <c r="K11" s="34"/>
    </row>
    <row r="12" spans="1:11" ht="55.5" customHeight="1" x14ac:dyDescent="0.25">
      <c r="A12" s="34" t="s">
        <v>355</v>
      </c>
      <c r="B12" s="34" t="s">
        <v>356</v>
      </c>
      <c r="C12" s="34" t="s">
        <v>23</v>
      </c>
      <c r="D12" s="34" t="s">
        <v>357</v>
      </c>
      <c r="E12" s="34" t="s">
        <v>358</v>
      </c>
      <c r="F12" s="34" t="s">
        <v>344</v>
      </c>
      <c r="G12" s="34"/>
      <c r="H12" s="34"/>
      <c r="I12" s="34"/>
      <c r="J12" s="34"/>
      <c r="K12" s="34"/>
    </row>
    <row r="13" spans="1:11" ht="55.5" customHeight="1" x14ac:dyDescent="0.25">
      <c r="A13" s="34" t="s">
        <v>359</v>
      </c>
      <c r="B13" s="34" t="s">
        <v>360</v>
      </c>
      <c r="C13" s="34" t="s">
        <v>23</v>
      </c>
      <c r="D13" s="34" t="s">
        <v>361</v>
      </c>
      <c r="E13" s="34" t="s">
        <v>362</v>
      </c>
      <c r="F13" s="34" t="s">
        <v>363</v>
      </c>
      <c r="G13" s="34"/>
      <c r="H13" s="34"/>
      <c r="I13" s="34"/>
      <c r="J13" s="34"/>
      <c r="K13" s="34"/>
    </row>
    <row r="14" spans="1:11" ht="55.5" customHeight="1" x14ac:dyDescent="0.25">
      <c r="A14" s="34" t="s">
        <v>364</v>
      </c>
      <c r="B14" s="34" t="s">
        <v>365</v>
      </c>
      <c r="C14" s="34" t="s">
        <v>23</v>
      </c>
      <c r="D14" s="34" t="s">
        <v>366</v>
      </c>
      <c r="E14" s="34" t="s">
        <v>367</v>
      </c>
      <c r="F14" s="34" t="s">
        <v>368</v>
      </c>
      <c r="G14" s="34"/>
      <c r="H14" s="34"/>
      <c r="I14" s="34"/>
      <c r="J14" s="34"/>
      <c r="K14" s="34"/>
    </row>
    <row r="15" spans="1:11" ht="55.5" customHeight="1" x14ac:dyDescent="0.25">
      <c r="A15" s="34" t="s">
        <v>369</v>
      </c>
      <c r="B15" s="34" t="s">
        <v>370</v>
      </c>
      <c r="C15" s="34" t="s">
        <v>23</v>
      </c>
      <c r="D15" s="34" t="s">
        <v>371</v>
      </c>
      <c r="E15" s="34" t="s">
        <v>372</v>
      </c>
      <c r="F15" s="34" t="s">
        <v>373</v>
      </c>
      <c r="G15" s="34"/>
      <c r="H15" s="34"/>
      <c r="I15" s="34"/>
      <c r="J15" s="34"/>
      <c r="K15" s="34"/>
    </row>
    <row r="16" spans="1:11" ht="55.5" customHeight="1" x14ac:dyDescent="0.25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845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374</v>
      </c>
      <c r="B8" s="34" t="s">
        <v>375</v>
      </c>
      <c r="C8" s="34" t="s">
        <v>23</v>
      </c>
      <c r="D8" s="34"/>
      <c r="E8" s="34" t="s">
        <v>376</v>
      </c>
      <c r="F8" s="34" t="s">
        <v>377</v>
      </c>
      <c r="G8" s="34"/>
      <c r="H8" s="34"/>
      <c r="I8" s="34"/>
      <c r="J8" s="34"/>
      <c r="K8" s="34"/>
    </row>
    <row r="9" spans="1:11" ht="55.5" customHeight="1" x14ac:dyDescent="0.25">
      <c r="A9" s="34" t="s">
        <v>378</v>
      </c>
      <c r="B9" s="34" t="s">
        <v>379</v>
      </c>
      <c r="C9" s="34" t="s">
        <v>23</v>
      </c>
      <c r="D9" s="34" t="s">
        <v>380</v>
      </c>
      <c r="E9" s="34" t="s">
        <v>381</v>
      </c>
      <c r="F9" s="34" t="s">
        <v>382</v>
      </c>
      <c r="G9" s="34"/>
      <c r="H9" s="34"/>
      <c r="I9" s="34"/>
      <c r="J9" s="34"/>
      <c r="K9" s="34"/>
    </row>
    <row r="10" spans="1:11" ht="55.5" customHeight="1" x14ac:dyDescent="0.25">
      <c r="A10" s="34" t="s">
        <v>383</v>
      </c>
      <c r="B10" s="34" t="s">
        <v>384</v>
      </c>
      <c r="C10" s="34" t="s">
        <v>23</v>
      </c>
      <c r="D10" s="34" t="s">
        <v>385</v>
      </c>
      <c r="E10" s="34" t="s">
        <v>386</v>
      </c>
      <c r="F10" s="34" t="s">
        <v>387</v>
      </c>
      <c r="G10" s="34"/>
      <c r="H10" s="34"/>
      <c r="I10" s="34"/>
      <c r="J10" s="34"/>
      <c r="K10" s="34"/>
    </row>
    <row r="11" spans="1:11" ht="55.5" customHeight="1" x14ac:dyDescent="0.25">
      <c r="A11" s="34" t="s">
        <v>388</v>
      </c>
      <c r="B11" s="34" t="s">
        <v>389</v>
      </c>
      <c r="C11" s="34" t="s">
        <v>23</v>
      </c>
      <c r="D11" s="34" t="s">
        <v>390</v>
      </c>
      <c r="E11" s="17" t="s">
        <v>391</v>
      </c>
      <c r="F11" s="34" t="s">
        <v>392</v>
      </c>
      <c r="G11" s="34"/>
      <c r="H11" s="34"/>
      <c r="I11" s="34"/>
      <c r="J11" s="34"/>
      <c r="K11" s="34"/>
    </row>
    <row r="12" spans="1:11" ht="55.5" customHeight="1" x14ac:dyDescent="0.25">
      <c r="A12" s="34" t="s">
        <v>393</v>
      </c>
      <c r="B12" s="34" t="s">
        <v>394</v>
      </c>
      <c r="C12" s="34" t="s">
        <v>23</v>
      </c>
      <c r="D12" s="34" t="s">
        <v>395</v>
      </c>
      <c r="E12" s="34" t="s">
        <v>396</v>
      </c>
      <c r="F12" s="34" t="s">
        <v>397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845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398</v>
      </c>
      <c r="B8" s="34" t="s">
        <v>399</v>
      </c>
      <c r="C8" s="34" t="s">
        <v>23</v>
      </c>
      <c r="D8" s="34" t="s">
        <v>400</v>
      </c>
      <c r="E8" s="34" t="s">
        <v>401</v>
      </c>
      <c r="F8" s="34" t="s">
        <v>402</v>
      </c>
      <c r="G8" s="34"/>
      <c r="H8" s="34"/>
      <c r="I8" s="34"/>
      <c r="J8" s="34"/>
      <c r="K8" s="34"/>
    </row>
    <row r="9" spans="1:11" ht="55.5" customHeight="1" x14ac:dyDescent="0.25">
      <c r="A9" s="34" t="s">
        <v>403</v>
      </c>
      <c r="B9" s="34" t="s">
        <v>404</v>
      </c>
      <c r="C9" s="34" t="s">
        <v>23</v>
      </c>
      <c r="D9" s="34" t="s">
        <v>405</v>
      </c>
      <c r="E9" s="34" t="s">
        <v>406</v>
      </c>
      <c r="F9" s="34" t="s">
        <v>407</v>
      </c>
      <c r="G9" s="34"/>
      <c r="H9" s="34"/>
      <c r="I9" s="34"/>
      <c r="J9" s="34"/>
      <c r="K9" s="34"/>
    </row>
    <row r="10" spans="1:11" ht="55.5" customHeight="1" x14ac:dyDescent="0.25">
      <c r="A10" s="34" t="s">
        <v>408</v>
      </c>
      <c r="B10" s="34" t="s">
        <v>409</v>
      </c>
      <c r="C10" s="34" t="s">
        <v>23</v>
      </c>
      <c r="D10" s="34" t="s">
        <v>410</v>
      </c>
      <c r="E10" s="34" t="s">
        <v>411</v>
      </c>
      <c r="F10" s="34" t="s">
        <v>412</v>
      </c>
      <c r="G10" s="34"/>
      <c r="H10" s="34"/>
      <c r="I10" s="34"/>
      <c r="J10" s="34"/>
      <c r="K10" s="34"/>
    </row>
    <row r="11" spans="1:11" ht="55.5" customHeight="1" x14ac:dyDescent="0.25">
      <c r="A11" s="34" t="s">
        <v>413</v>
      </c>
      <c r="B11" s="34" t="s">
        <v>414</v>
      </c>
      <c r="C11" s="34" t="s">
        <v>23</v>
      </c>
      <c r="D11" s="34" t="s">
        <v>415</v>
      </c>
      <c r="E11" s="17" t="s">
        <v>416</v>
      </c>
      <c r="F11" s="34" t="s">
        <v>417</v>
      </c>
      <c r="G11" s="34"/>
      <c r="H11" s="34"/>
      <c r="I11" s="34"/>
      <c r="J11" s="34"/>
      <c r="K11" s="34"/>
    </row>
    <row r="12" spans="1:11" ht="55.5" customHeight="1" x14ac:dyDescent="0.25">
      <c r="A12" s="34" t="s">
        <v>418</v>
      </c>
      <c r="B12" s="34" t="s">
        <v>419</v>
      </c>
      <c r="C12" s="34" t="s">
        <v>23</v>
      </c>
      <c r="D12" s="34" t="s">
        <v>420</v>
      </c>
      <c r="E12" s="34" t="s">
        <v>421</v>
      </c>
      <c r="F12" s="34" t="s">
        <v>422</v>
      </c>
      <c r="G12" s="34"/>
      <c r="H12" s="34"/>
      <c r="I12" s="34"/>
      <c r="J12" s="34"/>
      <c r="K12" s="34"/>
    </row>
    <row r="13" spans="1:11" ht="55.5" customHeight="1" x14ac:dyDescent="0.25">
      <c r="A13" s="34" t="s">
        <v>423</v>
      </c>
      <c r="B13" s="34" t="s">
        <v>424</v>
      </c>
      <c r="C13" s="34" t="s">
        <v>23</v>
      </c>
      <c r="D13" s="34" t="s">
        <v>425</v>
      </c>
      <c r="E13" s="34" t="s">
        <v>426</v>
      </c>
      <c r="F13" s="34" t="s">
        <v>427</v>
      </c>
      <c r="G13" s="34"/>
      <c r="H13" s="34"/>
      <c r="I13" s="34"/>
      <c r="J13" s="34"/>
      <c r="K13" s="34"/>
    </row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428</v>
      </c>
      <c r="B8" s="34" t="s">
        <v>429</v>
      </c>
      <c r="C8" s="34" t="s">
        <v>23</v>
      </c>
      <c r="D8" s="34" t="s">
        <v>400</v>
      </c>
      <c r="E8" s="34" t="s">
        <v>430</v>
      </c>
      <c r="F8" s="34" t="s">
        <v>431</v>
      </c>
      <c r="G8" s="34"/>
      <c r="H8" s="34"/>
      <c r="I8" s="34"/>
      <c r="J8" s="34"/>
      <c r="K8" s="34"/>
    </row>
    <row r="9" spans="1:11" ht="55.5" customHeight="1" x14ac:dyDescent="0.25">
      <c r="A9" s="34" t="s">
        <v>432</v>
      </c>
      <c r="B9" s="34" t="s">
        <v>433</v>
      </c>
      <c r="C9" s="34" t="s">
        <v>23</v>
      </c>
      <c r="D9" s="34" t="s">
        <v>434</v>
      </c>
      <c r="E9" s="34" t="s">
        <v>435</v>
      </c>
      <c r="F9" s="34" t="s">
        <v>436</v>
      </c>
      <c r="G9" s="34"/>
      <c r="H9" s="34"/>
      <c r="I9" s="34"/>
      <c r="J9" s="34"/>
      <c r="K9" s="34"/>
    </row>
    <row r="10" spans="1:11" ht="55.5" customHeight="1" x14ac:dyDescent="0.25">
      <c r="A10" s="34" t="s">
        <v>437</v>
      </c>
      <c r="B10" s="34" t="s">
        <v>438</v>
      </c>
      <c r="C10" s="34" t="s">
        <v>23</v>
      </c>
      <c r="D10" s="34" t="s">
        <v>439</v>
      </c>
      <c r="E10" s="34" t="s">
        <v>440</v>
      </c>
      <c r="F10" s="34" t="s">
        <v>441</v>
      </c>
      <c r="G10" s="34"/>
      <c r="H10" s="34"/>
      <c r="I10" s="34"/>
      <c r="J10" s="34"/>
      <c r="K10" s="34"/>
    </row>
    <row r="11" spans="1:11" ht="55.5" customHeight="1" x14ac:dyDescent="0.25">
      <c r="A11" s="34" t="s">
        <v>442</v>
      </c>
      <c r="B11" s="34" t="s">
        <v>443</v>
      </c>
      <c r="C11" s="34" t="s">
        <v>23</v>
      </c>
      <c r="D11" s="34" t="s">
        <v>444</v>
      </c>
      <c r="E11" s="17" t="s">
        <v>445</v>
      </c>
      <c r="F11" s="34" t="s">
        <v>446</v>
      </c>
      <c r="G11" s="34"/>
      <c r="H11" s="34"/>
      <c r="I11" s="34"/>
      <c r="J11" s="34"/>
      <c r="K11" s="34"/>
    </row>
    <row r="12" spans="1:11" ht="55.5" customHeight="1" x14ac:dyDescent="0.25">
      <c r="A12" s="34" t="s">
        <v>447</v>
      </c>
      <c r="B12" s="34" t="s">
        <v>448</v>
      </c>
      <c r="C12" s="34" t="s">
        <v>23</v>
      </c>
      <c r="D12" s="34" t="s">
        <v>449</v>
      </c>
      <c r="E12" s="34" t="s">
        <v>450</v>
      </c>
      <c r="F12" s="34" t="s">
        <v>451</v>
      </c>
      <c r="G12" s="34"/>
      <c r="H12" s="34"/>
      <c r="I12" s="34"/>
      <c r="J12" s="34"/>
      <c r="K12" s="34"/>
    </row>
    <row r="13" spans="1:11" ht="55.5" customHeight="1" x14ac:dyDescent="0.25">
      <c r="A13" s="34" t="s">
        <v>452</v>
      </c>
      <c r="B13" s="34" t="s">
        <v>453</v>
      </c>
      <c r="C13" s="34" t="s">
        <v>23</v>
      </c>
      <c r="D13" s="34" t="s">
        <v>454</v>
      </c>
      <c r="E13" s="34" t="s">
        <v>455</v>
      </c>
      <c r="F13" s="34" t="s">
        <v>456</v>
      </c>
      <c r="G13" s="34"/>
      <c r="H13" s="34"/>
      <c r="I13" s="34"/>
      <c r="J13" s="34"/>
      <c r="K13" s="34"/>
    </row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845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457</v>
      </c>
      <c r="B8" s="34" t="s">
        <v>458</v>
      </c>
      <c r="C8" s="34" t="s">
        <v>23</v>
      </c>
      <c r="D8" s="34" t="s">
        <v>459</v>
      </c>
      <c r="E8" s="34" t="s">
        <v>460</v>
      </c>
      <c r="F8" s="34" t="s">
        <v>461</v>
      </c>
      <c r="G8" s="34"/>
      <c r="H8" s="34"/>
      <c r="I8" s="34"/>
      <c r="J8" s="34"/>
      <c r="K8" s="34"/>
    </row>
    <row r="9" spans="1:11" ht="55.5" customHeight="1" x14ac:dyDescent="0.25">
      <c r="A9" s="34" t="s">
        <v>462</v>
      </c>
      <c r="B9" s="34" t="s">
        <v>463</v>
      </c>
      <c r="C9" s="34" t="s">
        <v>23</v>
      </c>
      <c r="D9" s="34" t="s">
        <v>464</v>
      </c>
      <c r="E9" s="34" t="s">
        <v>465</v>
      </c>
      <c r="F9" s="34" t="s">
        <v>466</v>
      </c>
      <c r="G9" s="34"/>
      <c r="H9" s="34"/>
      <c r="I9" s="34"/>
      <c r="J9" s="34"/>
      <c r="K9" s="34"/>
    </row>
    <row r="10" spans="1:11" ht="55.5" customHeight="1" x14ac:dyDescent="0.25">
      <c r="A10" s="34" t="s">
        <v>467</v>
      </c>
      <c r="B10" s="34" t="s">
        <v>468</v>
      </c>
      <c r="C10" s="34" t="s">
        <v>23</v>
      </c>
      <c r="D10" s="34"/>
      <c r="E10" s="34" t="s">
        <v>469</v>
      </c>
      <c r="F10" s="34" t="s">
        <v>470</v>
      </c>
      <c r="G10" s="34"/>
      <c r="H10" s="34"/>
      <c r="I10" s="34"/>
      <c r="J10" s="34"/>
      <c r="K10" s="34"/>
    </row>
    <row r="11" spans="1:11" ht="55.5" customHeight="1" x14ac:dyDescent="0.25">
      <c r="A11" s="34" t="s">
        <v>471</v>
      </c>
      <c r="B11" s="34" t="s">
        <v>472</v>
      </c>
      <c r="C11" s="34" t="s">
        <v>23</v>
      </c>
      <c r="D11" s="34" t="s">
        <v>473</v>
      </c>
      <c r="E11" s="17" t="s">
        <v>474</v>
      </c>
      <c r="F11" s="34" t="s">
        <v>475</v>
      </c>
      <c r="G11" s="34"/>
      <c r="H11" s="34"/>
      <c r="I11" s="34"/>
      <c r="J11" s="34"/>
      <c r="K11" s="34"/>
    </row>
    <row r="12" spans="1:11" ht="55.5" customHeight="1" x14ac:dyDescent="0.25">
      <c r="A12" s="34" t="s">
        <v>476</v>
      </c>
      <c r="B12" s="34" t="s">
        <v>477</v>
      </c>
      <c r="C12" s="34" t="s">
        <v>23</v>
      </c>
      <c r="D12" s="34" t="s">
        <v>478</v>
      </c>
      <c r="E12" s="34" t="s">
        <v>479</v>
      </c>
      <c r="F12" s="34" t="s">
        <v>480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844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481</v>
      </c>
      <c r="B8" s="34" t="s">
        <v>482</v>
      </c>
      <c r="C8" s="34" t="s">
        <v>23</v>
      </c>
      <c r="D8" s="34"/>
      <c r="E8" s="34" t="s">
        <v>483</v>
      </c>
      <c r="F8" s="34" t="s">
        <v>484</v>
      </c>
      <c r="G8" s="34"/>
      <c r="H8" s="34"/>
      <c r="I8" s="34"/>
      <c r="J8" s="34"/>
      <c r="K8" s="34"/>
    </row>
    <row r="9" spans="1:11" ht="55.5" customHeight="1" x14ac:dyDescent="0.25">
      <c r="A9" s="34" t="s">
        <v>485</v>
      </c>
      <c r="B9" s="34" t="s">
        <v>486</v>
      </c>
      <c r="C9" s="34" t="s">
        <v>23</v>
      </c>
      <c r="D9" s="34" t="s">
        <v>487</v>
      </c>
      <c r="E9" s="34" t="s">
        <v>488</v>
      </c>
      <c r="F9" s="34" t="s">
        <v>489</v>
      </c>
      <c r="G9" s="34"/>
      <c r="H9" s="34"/>
      <c r="I9" s="34"/>
      <c r="J9" s="34"/>
      <c r="K9" s="34"/>
    </row>
    <row r="10" spans="1:11" ht="55.5" customHeight="1" x14ac:dyDescent="0.25">
      <c r="A10" s="34" t="s">
        <v>490</v>
      </c>
      <c r="B10" s="34" t="s">
        <v>491</v>
      </c>
      <c r="C10" s="34" t="s">
        <v>23</v>
      </c>
      <c r="D10" s="34" t="s">
        <v>492</v>
      </c>
      <c r="E10" s="34" t="s">
        <v>493</v>
      </c>
      <c r="F10" s="34" t="s">
        <v>95</v>
      </c>
      <c r="G10" s="34"/>
      <c r="H10" s="34"/>
      <c r="I10" s="34"/>
      <c r="J10" s="34"/>
      <c r="K10" s="34"/>
    </row>
    <row r="11" spans="1:11" ht="55.5" customHeight="1" x14ac:dyDescent="0.25">
      <c r="A11" s="34" t="s">
        <v>494</v>
      </c>
      <c r="B11" s="34" t="s">
        <v>495</v>
      </c>
      <c r="C11" s="34" t="s">
        <v>23</v>
      </c>
      <c r="D11" s="34" t="s">
        <v>108</v>
      </c>
      <c r="E11" s="17" t="s">
        <v>496</v>
      </c>
      <c r="F11" s="34" t="s">
        <v>497</v>
      </c>
      <c r="G11" s="34"/>
      <c r="H11" s="34"/>
      <c r="I11" s="34"/>
      <c r="J11" s="34"/>
      <c r="K11" s="34"/>
    </row>
    <row r="12" spans="1:11" ht="55.5" customHeight="1" x14ac:dyDescent="0.25">
      <c r="A12" s="34" t="s">
        <v>498</v>
      </c>
      <c r="B12" s="34" t="s">
        <v>499</v>
      </c>
      <c r="C12" s="34" t="s">
        <v>23</v>
      </c>
      <c r="D12" s="34"/>
      <c r="E12" s="34" t="s">
        <v>500</v>
      </c>
      <c r="F12" s="34" t="s">
        <v>501</v>
      </c>
      <c r="G12" s="34"/>
      <c r="H12" s="34"/>
      <c r="I12" s="34"/>
      <c r="J12" s="34"/>
      <c r="K12" s="34"/>
    </row>
    <row r="13" spans="1:11" ht="55.5" customHeight="1" x14ac:dyDescent="0.25">
      <c r="A13" s="34" t="s">
        <v>502</v>
      </c>
      <c r="B13" s="34" t="s">
        <v>503</v>
      </c>
      <c r="C13" s="34" t="s">
        <v>23</v>
      </c>
      <c r="D13" s="34" t="s">
        <v>504</v>
      </c>
      <c r="E13" s="34" t="s">
        <v>505</v>
      </c>
      <c r="F13" s="34" t="s">
        <v>506</v>
      </c>
      <c r="G13" s="34"/>
      <c r="H13" s="34"/>
      <c r="I13" s="34"/>
      <c r="J13" s="34"/>
      <c r="K13" s="34"/>
    </row>
    <row r="14" spans="1:11" ht="55.5" customHeight="1" x14ac:dyDescent="0.25">
      <c r="A14" s="34" t="s">
        <v>507</v>
      </c>
      <c r="B14" s="34" t="s">
        <v>508</v>
      </c>
      <c r="C14" s="34" t="s">
        <v>23</v>
      </c>
      <c r="D14" s="34" t="s">
        <v>509</v>
      </c>
      <c r="E14" s="34" t="s">
        <v>510</v>
      </c>
      <c r="F14" s="34" t="s">
        <v>129</v>
      </c>
      <c r="G14" s="34"/>
      <c r="H14" s="34"/>
      <c r="I14" s="34"/>
      <c r="J14" s="34"/>
      <c r="K14" s="34"/>
    </row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844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511</v>
      </c>
      <c r="B8" s="34" t="s">
        <v>512</v>
      </c>
      <c r="C8" s="34" t="s">
        <v>23</v>
      </c>
      <c r="D8" s="34" t="s">
        <v>513</v>
      </c>
      <c r="E8" s="34" t="s">
        <v>514</v>
      </c>
      <c r="F8" s="34" t="s">
        <v>515</v>
      </c>
      <c r="G8" s="34"/>
      <c r="H8" s="34"/>
      <c r="I8" s="34"/>
      <c r="J8" s="34"/>
      <c r="K8" s="34"/>
    </row>
    <row r="9" spans="1:11" ht="55.5" customHeight="1" x14ac:dyDescent="0.25">
      <c r="A9" s="34" t="s">
        <v>516</v>
      </c>
      <c r="B9" s="34" t="s">
        <v>517</v>
      </c>
      <c r="C9" s="34" t="s">
        <v>23</v>
      </c>
      <c r="D9" s="34" t="s">
        <v>518</v>
      </c>
      <c r="E9" s="34" t="s">
        <v>519</v>
      </c>
      <c r="F9" s="34" t="s">
        <v>520</v>
      </c>
      <c r="G9" s="34"/>
      <c r="H9" s="34"/>
      <c r="I9" s="34"/>
      <c r="J9" s="34"/>
      <c r="K9" s="34"/>
    </row>
    <row r="10" spans="1:11" ht="55.5" customHeight="1" x14ac:dyDescent="0.25">
      <c r="A10" s="34" t="s">
        <v>521</v>
      </c>
      <c r="B10" s="34" t="s">
        <v>522</v>
      </c>
      <c r="C10" s="34" t="s">
        <v>23</v>
      </c>
      <c r="D10" s="34" t="s">
        <v>523</v>
      </c>
      <c r="E10" s="34" t="s">
        <v>524</v>
      </c>
      <c r="F10" s="34" t="s">
        <v>497</v>
      </c>
      <c r="G10" s="34"/>
      <c r="H10" s="34"/>
      <c r="I10" s="34"/>
      <c r="J10" s="34"/>
      <c r="K10" s="34"/>
    </row>
    <row r="11" spans="1:11" ht="55.5" customHeight="1" x14ac:dyDescent="0.25">
      <c r="A11" s="34" t="s">
        <v>525</v>
      </c>
      <c r="B11" s="34" t="s">
        <v>526</v>
      </c>
      <c r="C11" s="34" t="s">
        <v>23</v>
      </c>
      <c r="D11" s="34" t="s">
        <v>527</v>
      </c>
      <c r="E11" s="17" t="s">
        <v>528</v>
      </c>
      <c r="F11" s="34" t="s">
        <v>529</v>
      </c>
      <c r="G11" s="34"/>
      <c r="H11" s="34"/>
      <c r="I11" s="34"/>
      <c r="J11" s="34"/>
      <c r="K11" s="34"/>
    </row>
    <row r="12" spans="1:11" ht="55.5" customHeight="1" x14ac:dyDescent="0.25">
      <c r="A12" s="34" t="s">
        <v>530</v>
      </c>
      <c r="B12" s="34" t="s">
        <v>531</v>
      </c>
      <c r="C12" s="34" t="s">
        <v>23</v>
      </c>
      <c r="D12" s="34" t="s">
        <v>532</v>
      </c>
      <c r="E12" s="34" t="s">
        <v>533</v>
      </c>
      <c r="F12" s="34" t="s">
        <v>534</v>
      </c>
      <c r="G12" s="34"/>
      <c r="H12" s="34"/>
      <c r="I12" s="34"/>
      <c r="J12" s="34"/>
      <c r="K12" s="34"/>
    </row>
    <row r="13" spans="1:11" ht="55.5" customHeight="1" x14ac:dyDescent="0.25">
      <c r="A13" s="34" t="s">
        <v>535</v>
      </c>
      <c r="B13" s="34" t="s">
        <v>536</v>
      </c>
      <c r="C13" s="34" t="s">
        <v>23</v>
      </c>
      <c r="D13" s="34" t="s">
        <v>527</v>
      </c>
      <c r="E13" s="34" t="s">
        <v>537</v>
      </c>
      <c r="F13" s="34" t="s">
        <v>538</v>
      </c>
      <c r="G13" s="34"/>
      <c r="H13" s="34"/>
      <c r="I13" s="34"/>
      <c r="J13" s="34"/>
      <c r="K13" s="34"/>
    </row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539</v>
      </c>
      <c r="B8" s="34" t="s">
        <v>540</v>
      </c>
      <c r="C8" s="34" t="s">
        <v>23</v>
      </c>
      <c r="D8" s="34" t="s">
        <v>513</v>
      </c>
      <c r="E8" s="34" t="s">
        <v>541</v>
      </c>
      <c r="F8" s="34" t="s">
        <v>542</v>
      </c>
      <c r="G8" s="34"/>
      <c r="H8" s="34"/>
      <c r="I8" s="34"/>
      <c r="J8" s="34"/>
      <c r="K8" s="34"/>
    </row>
    <row r="9" spans="1:11" ht="55.5" customHeight="1" x14ac:dyDescent="0.25">
      <c r="A9" s="34" t="s">
        <v>543</v>
      </c>
      <c r="B9" s="34" t="s">
        <v>544</v>
      </c>
      <c r="C9" s="34" t="s">
        <v>23</v>
      </c>
      <c r="D9" s="34" t="s">
        <v>545</v>
      </c>
      <c r="E9" s="34" t="s">
        <v>546</v>
      </c>
      <c r="F9" s="34" t="s">
        <v>547</v>
      </c>
      <c r="G9" s="34"/>
      <c r="H9" s="34"/>
      <c r="I9" s="34"/>
      <c r="J9" s="34"/>
      <c r="K9" s="34"/>
    </row>
    <row r="10" spans="1:11" ht="55.5" customHeight="1" x14ac:dyDescent="0.25">
      <c r="A10" s="34" t="s">
        <v>548</v>
      </c>
      <c r="B10" s="34" t="s">
        <v>549</v>
      </c>
      <c r="C10" s="34" t="s">
        <v>23</v>
      </c>
      <c r="D10" s="34" t="s">
        <v>550</v>
      </c>
      <c r="E10" s="34" t="s">
        <v>551</v>
      </c>
      <c r="F10" s="34" t="s">
        <v>552</v>
      </c>
      <c r="G10" s="34"/>
      <c r="H10" s="34"/>
      <c r="I10" s="34"/>
      <c r="J10" s="34"/>
      <c r="K10" s="34"/>
    </row>
    <row r="11" spans="1:11" ht="55.5" customHeight="1" x14ac:dyDescent="0.25">
      <c r="A11" s="34" t="s">
        <v>553</v>
      </c>
      <c r="B11" s="34" t="s">
        <v>554</v>
      </c>
      <c r="C11" s="34" t="s">
        <v>23</v>
      </c>
      <c r="D11" s="34" t="s">
        <v>555</v>
      </c>
      <c r="E11" s="17" t="s">
        <v>556</v>
      </c>
      <c r="F11" s="34" t="s">
        <v>557</v>
      </c>
      <c r="G11" s="34"/>
      <c r="H11" s="34"/>
      <c r="I11" s="34"/>
      <c r="J11" s="34"/>
      <c r="K11" s="34"/>
    </row>
    <row r="12" spans="1:11" ht="55.5" customHeight="1" x14ac:dyDescent="0.25">
      <c r="A12" s="34" t="s">
        <v>558</v>
      </c>
      <c r="B12" s="34" t="s">
        <v>559</v>
      </c>
      <c r="C12" s="34" t="s">
        <v>23</v>
      </c>
      <c r="D12" s="34" t="s">
        <v>560</v>
      </c>
      <c r="E12" s="34" t="s">
        <v>561</v>
      </c>
      <c r="F12" s="34" t="s">
        <v>562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844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563</v>
      </c>
      <c r="B8" s="34" t="s">
        <v>564</v>
      </c>
      <c r="C8" s="34" t="s">
        <v>23</v>
      </c>
      <c r="D8" s="34" t="s">
        <v>513</v>
      </c>
      <c r="E8" s="34" t="s">
        <v>565</v>
      </c>
      <c r="F8" s="34" t="s">
        <v>566</v>
      </c>
      <c r="G8" s="34"/>
      <c r="H8" s="34"/>
      <c r="I8" s="34"/>
      <c r="J8" s="34"/>
      <c r="K8" s="34"/>
    </row>
    <row r="9" spans="1:11" ht="55.5" customHeight="1" x14ac:dyDescent="0.25">
      <c r="A9" s="34" t="s">
        <v>567</v>
      </c>
      <c r="B9" s="34" t="s">
        <v>568</v>
      </c>
      <c r="C9" s="34" t="s">
        <v>23</v>
      </c>
      <c r="D9" s="34" t="s">
        <v>569</v>
      </c>
      <c r="E9" s="34" t="s">
        <v>570</v>
      </c>
      <c r="F9" s="34" t="s">
        <v>571</v>
      </c>
      <c r="G9" s="34"/>
      <c r="H9" s="34"/>
      <c r="I9" s="34"/>
      <c r="J9" s="34"/>
      <c r="K9" s="34"/>
    </row>
    <row r="10" spans="1:11" ht="55.5" customHeight="1" x14ac:dyDescent="0.25">
      <c r="A10" s="34" t="s">
        <v>572</v>
      </c>
      <c r="B10" s="34" t="s">
        <v>573</v>
      </c>
      <c r="C10" s="34" t="s">
        <v>23</v>
      </c>
      <c r="D10" s="34" t="s">
        <v>574</v>
      </c>
      <c r="E10" s="34" t="s">
        <v>575</v>
      </c>
      <c r="F10" s="34" t="s">
        <v>576</v>
      </c>
      <c r="G10" s="34"/>
      <c r="H10" s="34"/>
      <c r="I10" s="34"/>
      <c r="J10" s="34"/>
      <c r="K10" s="34"/>
    </row>
    <row r="11" spans="1:11" ht="55.5" customHeight="1" x14ac:dyDescent="0.25">
      <c r="A11" s="34" t="s">
        <v>577</v>
      </c>
      <c r="B11" s="34" t="s">
        <v>578</v>
      </c>
      <c r="C11" s="34" t="s">
        <v>23</v>
      </c>
      <c r="D11" s="34" t="s">
        <v>579</v>
      </c>
      <c r="E11" s="17" t="s">
        <v>556</v>
      </c>
      <c r="F11" s="34" t="s">
        <v>580</v>
      </c>
      <c r="G11" s="34"/>
      <c r="H11" s="34"/>
      <c r="I11" s="34"/>
      <c r="J11" s="34"/>
      <c r="K11" s="34"/>
    </row>
    <row r="12" spans="1:11" ht="55.5" customHeight="1" x14ac:dyDescent="0.25">
      <c r="A12" s="34" t="s">
        <v>581</v>
      </c>
      <c r="B12" s="34" t="s">
        <v>582</v>
      </c>
      <c r="C12" s="34" t="s">
        <v>23</v>
      </c>
      <c r="D12" s="34" t="s">
        <v>583</v>
      </c>
      <c r="E12" s="34" t="s">
        <v>584</v>
      </c>
      <c r="F12" s="34" t="s">
        <v>585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844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586</v>
      </c>
      <c r="B8" s="34" t="s">
        <v>587</v>
      </c>
      <c r="C8" s="34" t="s">
        <v>23</v>
      </c>
      <c r="D8" s="34" t="s">
        <v>513</v>
      </c>
      <c r="E8" s="34" t="s">
        <v>588</v>
      </c>
      <c r="F8" s="34" t="s">
        <v>589</v>
      </c>
      <c r="G8" s="34"/>
      <c r="H8" s="34"/>
      <c r="I8" s="34"/>
      <c r="J8" s="34"/>
      <c r="K8" s="34"/>
    </row>
    <row r="9" spans="1:11" ht="55.5" customHeight="1" x14ac:dyDescent="0.25">
      <c r="A9" s="34" t="s">
        <v>590</v>
      </c>
      <c r="B9" s="34" t="s">
        <v>591</v>
      </c>
      <c r="C9" s="34" t="s">
        <v>23</v>
      </c>
      <c r="D9" s="34" t="s">
        <v>592</v>
      </c>
      <c r="E9" s="34" t="s">
        <v>593</v>
      </c>
      <c r="F9" s="34" t="s">
        <v>594</v>
      </c>
      <c r="G9" s="34"/>
      <c r="H9" s="34"/>
      <c r="I9" s="34"/>
      <c r="J9" s="34"/>
      <c r="K9" s="34"/>
    </row>
    <row r="10" spans="1:11" ht="55.5" customHeight="1" x14ac:dyDescent="0.25">
      <c r="A10" s="34" t="s">
        <v>595</v>
      </c>
      <c r="B10" s="34" t="s">
        <v>596</v>
      </c>
      <c r="C10" s="34" t="s">
        <v>23</v>
      </c>
      <c r="D10" s="34" t="s">
        <v>597</v>
      </c>
      <c r="E10" s="34" t="s">
        <v>598</v>
      </c>
      <c r="F10" s="34" t="s">
        <v>599</v>
      </c>
      <c r="G10" s="34"/>
      <c r="H10" s="34"/>
      <c r="I10" s="34"/>
      <c r="J10" s="34"/>
      <c r="K10" s="34"/>
    </row>
    <row r="11" spans="1:11" ht="55.5" customHeight="1" x14ac:dyDescent="0.25">
      <c r="A11" s="34" t="s">
        <v>600</v>
      </c>
      <c r="B11" s="34" t="s">
        <v>601</v>
      </c>
      <c r="C11" s="34" t="s">
        <v>23</v>
      </c>
      <c r="D11" s="34" t="s">
        <v>602</v>
      </c>
      <c r="E11" s="17" t="s">
        <v>603</v>
      </c>
      <c r="F11" s="34" t="s">
        <v>604</v>
      </c>
      <c r="G11" s="34"/>
      <c r="H11" s="34"/>
      <c r="I11" s="34"/>
      <c r="J11" s="34"/>
      <c r="K11" s="34"/>
    </row>
    <row r="12" spans="1:11" ht="55.5" customHeight="1" x14ac:dyDescent="0.25">
      <c r="A12" s="34" t="s">
        <v>605</v>
      </c>
      <c r="B12" s="34" t="s">
        <v>606</v>
      </c>
      <c r="C12" s="34" t="s">
        <v>23</v>
      </c>
      <c r="D12" s="34" t="s">
        <v>607</v>
      </c>
      <c r="E12" s="34" t="s">
        <v>608</v>
      </c>
      <c r="F12" s="34" t="s">
        <v>609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844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610</v>
      </c>
      <c r="B8" s="34" t="s">
        <v>611</v>
      </c>
      <c r="C8" s="34" t="s">
        <v>23</v>
      </c>
      <c r="D8" s="34" t="s">
        <v>513</v>
      </c>
      <c r="E8" s="34" t="s">
        <v>612</v>
      </c>
      <c r="F8" s="34" t="s">
        <v>613</v>
      </c>
      <c r="G8" s="34"/>
      <c r="H8" s="34"/>
      <c r="I8" s="34"/>
      <c r="J8" s="34"/>
      <c r="K8" s="34"/>
    </row>
    <row r="9" spans="1:11" ht="55.5" customHeight="1" x14ac:dyDescent="0.25">
      <c r="A9" s="34" t="s">
        <v>614</v>
      </c>
      <c r="B9" s="34" t="s">
        <v>615</v>
      </c>
      <c r="C9" s="34" t="s">
        <v>23</v>
      </c>
      <c r="D9" s="34" t="s">
        <v>616</v>
      </c>
      <c r="E9" s="34" t="s">
        <v>617</v>
      </c>
      <c r="F9" s="34" t="s">
        <v>618</v>
      </c>
      <c r="G9" s="34"/>
      <c r="H9" s="34"/>
      <c r="I9" s="34"/>
      <c r="J9" s="34"/>
      <c r="K9" s="34"/>
    </row>
    <row r="10" spans="1:11" ht="55.5" customHeight="1" x14ac:dyDescent="0.25">
      <c r="A10" s="34" t="s">
        <v>619</v>
      </c>
      <c r="B10" s="34" t="s">
        <v>620</v>
      </c>
      <c r="C10" s="34" t="s">
        <v>23</v>
      </c>
      <c r="D10" s="34" t="s">
        <v>621</v>
      </c>
      <c r="E10" s="34" t="s">
        <v>622</v>
      </c>
      <c r="F10" s="34" t="s">
        <v>623</v>
      </c>
      <c r="G10" s="34"/>
      <c r="H10" s="34"/>
      <c r="I10" s="34"/>
      <c r="J10" s="34"/>
      <c r="K10" s="34"/>
    </row>
    <row r="11" spans="1:11" ht="55.5" customHeight="1" x14ac:dyDescent="0.25">
      <c r="A11" s="34" t="s">
        <v>624</v>
      </c>
      <c r="B11" s="34" t="s">
        <v>625</v>
      </c>
      <c r="C11" s="34" t="s">
        <v>23</v>
      </c>
      <c r="D11" s="34" t="s">
        <v>626</v>
      </c>
      <c r="E11" s="17" t="s">
        <v>627</v>
      </c>
      <c r="F11" s="34" t="s">
        <v>628</v>
      </c>
      <c r="G11" s="34"/>
      <c r="H11" s="34"/>
      <c r="I11" s="34"/>
      <c r="J11" s="34"/>
      <c r="K11" s="34"/>
    </row>
    <row r="12" spans="1:11" ht="55.5" customHeight="1" x14ac:dyDescent="0.25">
      <c r="A12" s="34" t="s">
        <v>629</v>
      </c>
      <c r="B12" s="34" t="s">
        <v>630</v>
      </c>
      <c r="C12" s="34" t="s">
        <v>23</v>
      </c>
      <c r="D12" s="34" t="s">
        <v>631</v>
      </c>
      <c r="E12" s="34" t="s">
        <v>627</v>
      </c>
      <c r="F12" s="34" t="s">
        <v>632</v>
      </c>
      <c r="G12" s="34"/>
      <c r="H12" s="34"/>
      <c r="I12" s="34"/>
      <c r="J12" s="34"/>
      <c r="K12" s="34"/>
    </row>
    <row r="13" spans="1:11" ht="55.5" customHeight="1" x14ac:dyDescent="0.25">
      <c r="A13" s="34" t="s">
        <v>633</v>
      </c>
      <c r="B13" s="34" t="s">
        <v>634</v>
      </c>
      <c r="C13" s="34" t="s">
        <v>23</v>
      </c>
      <c r="D13" s="34" t="s">
        <v>635</v>
      </c>
      <c r="E13" s="34" t="s">
        <v>636</v>
      </c>
      <c r="F13" s="34" t="s">
        <v>637</v>
      </c>
      <c r="G13" s="34"/>
      <c r="H13" s="34"/>
      <c r="I13" s="34"/>
      <c r="J13" s="34"/>
      <c r="K13" s="34"/>
    </row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638</v>
      </c>
      <c r="B8" s="34" t="s">
        <v>639</v>
      </c>
      <c r="C8" s="34" t="s">
        <v>23</v>
      </c>
      <c r="D8" s="34" t="s">
        <v>513</v>
      </c>
      <c r="E8" s="34" t="s">
        <v>640</v>
      </c>
      <c r="F8" s="34" t="s">
        <v>641</v>
      </c>
      <c r="G8" s="34"/>
      <c r="H8" s="34"/>
      <c r="I8" s="34"/>
      <c r="J8" s="34"/>
      <c r="K8" s="34"/>
    </row>
    <row r="9" spans="1:11" ht="55.5" customHeight="1" x14ac:dyDescent="0.25">
      <c r="A9" s="34" t="s">
        <v>642</v>
      </c>
      <c r="B9" s="34" t="s">
        <v>643</v>
      </c>
      <c r="C9" s="34" t="s">
        <v>23</v>
      </c>
      <c r="D9" s="34" t="s">
        <v>644</v>
      </c>
      <c r="E9" s="34" t="s">
        <v>645</v>
      </c>
      <c r="F9" s="34" t="s">
        <v>646</v>
      </c>
      <c r="G9" s="34"/>
      <c r="H9" s="34"/>
      <c r="I9" s="34"/>
      <c r="J9" s="34"/>
      <c r="K9" s="34"/>
    </row>
    <row r="10" spans="1:11" ht="55.5" customHeight="1" x14ac:dyDescent="0.25">
      <c r="A10" s="34" t="s">
        <v>647</v>
      </c>
      <c r="B10" s="34" t="s">
        <v>648</v>
      </c>
      <c r="C10" s="34" t="s">
        <v>23</v>
      </c>
      <c r="D10" s="34"/>
      <c r="E10" s="34" t="s">
        <v>649</v>
      </c>
      <c r="F10" s="34" t="s">
        <v>650</v>
      </c>
      <c r="G10" s="34"/>
      <c r="H10" s="34"/>
      <c r="I10" s="34"/>
      <c r="J10" s="34"/>
      <c r="K10" s="34"/>
    </row>
    <row r="11" spans="1:11" ht="55.5" customHeight="1" x14ac:dyDescent="0.25">
      <c r="A11" s="34" t="s">
        <v>651</v>
      </c>
      <c r="B11" s="34" t="s">
        <v>652</v>
      </c>
      <c r="C11" s="34" t="s">
        <v>23</v>
      </c>
      <c r="D11" s="34"/>
      <c r="E11" s="17" t="s">
        <v>653</v>
      </c>
      <c r="F11" s="34" t="s">
        <v>654</v>
      </c>
      <c r="G11" s="34"/>
      <c r="H11" s="34"/>
      <c r="I11" s="34"/>
      <c r="J11" s="34"/>
      <c r="K11" s="34"/>
    </row>
    <row r="12" spans="1:11" ht="55.5" customHeight="1" x14ac:dyDescent="0.25"/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845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655</v>
      </c>
      <c r="B8" s="34" t="s">
        <v>656</v>
      </c>
      <c r="C8" s="34" t="s">
        <v>23</v>
      </c>
      <c r="D8" s="34"/>
      <c r="E8" s="34" t="s">
        <v>657</v>
      </c>
      <c r="F8" s="34" t="s">
        <v>658</v>
      </c>
      <c r="G8" s="34"/>
      <c r="H8" s="34"/>
      <c r="I8" s="34"/>
      <c r="J8" s="34"/>
      <c r="K8" s="34"/>
    </row>
    <row r="9" spans="1:11" ht="55.5" customHeight="1" x14ac:dyDescent="0.25">
      <c r="A9" s="34" t="s">
        <v>659</v>
      </c>
      <c r="B9" s="34" t="s">
        <v>660</v>
      </c>
      <c r="C9" s="34" t="s">
        <v>23</v>
      </c>
      <c r="D9" s="34" t="s">
        <v>661</v>
      </c>
      <c r="E9" s="34" t="s">
        <v>662</v>
      </c>
      <c r="F9" s="34" t="s">
        <v>663</v>
      </c>
      <c r="G9" s="34"/>
      <c r="H9" s="34"/>
      <c r="I9" s="34"/>
      <c r="J9" s="34"/>
      <c r="K9" s="34"/>
    </row>
    <row r="10" spans="1:11" ht="55.5" customHeight="1" x14ac:dyDescent="0.25">
      <c r="A10" s="34" t="s">
        <v>664</v>
      </c>
      <c r="B10" s="34" t="s">
        <v>665</v>
      </c>
      <c r="C10" s="34" t="s">
        <v>23</v>
      </c>
      <c r="D10" s="34" t="s">
        <v>666</v>
      </c>
      <c r="E10" s="34" t="s">
        <v>667</v>
      </c>
      <c r="F10" s="34" t="s">
        <v>668</v>
      </c>
      <c r="G10" s="34"/>
      <c r="H10" s="34"/>
      <c r="I10" s="34"/>
      <c r="J10" s="34"/>
      <c r="K10" s="34"/>
    </row>
    <row r="11" spans="1:11" ht="55.5" customHeight="1" x14ac:dyDescent="0.25">
      <c r="A11" s="34" t="s">
        <v>669</v>
      </c>
      <c r="B11" s="34" t="s">
        <v>670</v>
      </c>
      <c r="C11" s="34" t="s">
        <v>23</v>
      </c>
      <c r="D11" s="34" t="s">
        <v>671</v>
      </c>
      <c r="E11" s="17" t="s">
        <v>672</v>
      </c>
      <c r="F11" s="34" t="s">
        <v>673</v>
      </c>
      <c r="G11" s="34"/>
      <c r="H11" s="34"/>
      <c r="I11" s="34"/>
      <c r="J11" s="34"/>
      <c r="K11" s="34"/>
    </row>
    <row r="12" spans="1:11" ht="55.5" customHeight="1" x14ac:dyDescent="0.25">
      <c r="A12" s="34" t="s">
        <v>674</v>
      </c>
      <c r="B12" s="34" t="s">
        <v>675</v>
      </c>
      <c r="C12" s="34" t="s">
        <v>23</v>
      </c>
      <c r="D12" s="34" t="s">
        <v>676</v>
      </c>
      <c r="E12" s="34" t="s">
        <v>677</v>
      </c>
      <c r="F12" s="34" t="s">
        <v>497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678</v>
      </c>
      <c r="B8" s="34" t="s">
        <v>679</v>
      </c>
      <c r="C8" s="34" t="s">
        <v>23</v>
      </c>
      <c r="D8" s="34" t="s">
        <v>680</v>
      </c>
      <c r="E8" s="34" t="s">
        <v>681</v>
      </c>
      <c r="F8" s="34" t="s">
        <v>682</v>
      </c>
      <c r="G8" s="34"/>
      <c r="H8" s="34"/>
      <c r="I8" s="34"/>
      <c r="J8" s="34"/>
      <c r="K8" s="34"/>
    </row>
    <row r="9" spans="1:11" ht="55.5" customHeight="1" x14ac:dyDescent="0.25">
      <c r="A9" s="34" t="s">
        <v>683</v>
      </c>
      <c r="B9" s="34" t="s">
        <v>684</v>
      </c>
      <c r="C9" s="34" t="s">
        <v>23</v>
      </c>
      <c r="D9" s="34" t="s">
        <v>685</v>
      </c>
      <c r="E9" s="34" t="s">
        <v>686</v>
      </c>
      <c r="F9" s="34" t="s">
        <v>687</v>
      </c>
      <c r="G9" s="34"/>
      <c r="H9" s="34"/>
      <c r="I9" s="34"/>
      <c r="J9" s="34"/>
      <c r="K9" s="34"/>
    </row>
    <row r="10" spans="1:11" ht="55.5" customHeight="1" x14ac:dyDescent="0.25">
      <c r="A10" s="34" t="s">
        <v>688</v>
      </c>
      <c r="B10" s="34" t="s">
        <v>689</v>
      </c>
      <c r="C10" s="34" t="s">
        <v>23</v>
      </c>
      <c r="D10" s="34" t="s">
        <v>690</v>
      </c>
      <c r="E10" s="34" t="s">
        <v>691</v>
      </c>
      <c r="F10" s="34" t="s">
        <v>692</v>
      </c>
      <c r="G10" s="34"/>
      <c r="H10" s="34"/>
      <c r="I10" s="34"/>
      <c r="J10" s="34"/>
      <c r="K10" s="34"/>
    </row>
    <row r="11" spans="1:11" ht="55.5" customHeight="1" x14ac:dyDescent="0.25">
      <c r="A11" s="34" t="s">
        <v>693</v>
      </c>
      <c r="B11" s="34" t="s">
        <v>694</v>
      </c>
      <c r="C11" s="34" t="s">
        <v>23</v>
      </c>
      <c r="D11" s="34" t="s">
        <v>695</v>
      </c>
      <c r="E11" s="17" t="s">
        <v>696</v>
      </c>
      <c r="F11" s="34" t="s">
        <v>697</v>
      </c>
      <c r="G11" s="34"/>
      <c r="H11" s="34"/>
      <c r="I11" s="34"/>
      <c r="J11" s="34"/>
      <c r="K11" s="34"/>
    </row>
    <row r="12" spans="1:11" ht="55.5" customHeight="1" x14ac:dyDescent="0.25">
      <c r="A12" s="34" t="s">
        <v>698</v>
      </c>
      <c r="B12" s="34" t="s">
        <v>699</v>
      </c>
      <c r="C12" s="34" t="s">
        <v>23</v>
      </c>
      <c r="D12" s="34" t="s">
        <v>700</v>
      </c>
      <c r="E12" s="34" t="s">
        <v>701</v>
      </c>
      <c r="F12" s="34" t="s">
        <v>702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703</v>
      </c>
      <c r="B8" s="34" t="s">
        <v>704</v>
      </c>
      <c r="C8" s="34" t="s">
        <v>23</v>
      </c>
      <c r="D8" s="34" t="s">
        <v>680</v>
      </c>
      <c r="E8" s="34" t="s">
        <v>705</v>
      </c>
      <c r="F8" s="34" t="s">
        <v>706</v>
      </c>
      <c r="G8" s="34"/>
      <c r="H8" s="34"/>
      <c r="I8" s="34"/>
      <c r="J8" s="34"/>
      <c r="K8" s="34"/>
    </row>
    <row r="9" spans="1:11" ht="55.5" customHeight="1" x14ac:dyDescent="0.25">
      <c r="A9" s="34" t="s">
        <v>707</v>
      </c>
      <c r="B9" s="34" t="s">
        <v>708</v>
      </c>
      <c r="C9" s="34" t="s">
        <v>23</v>
      </c>
      <c r="D9" s="34" t="s">
        <v>709</v>
      </c>
      <c r="E9" s="34" t="s">
        <v>710</v>
      </c>
      <c r="F9" s="34" t="s">
        <v>711</v>
      </c>
      <c r="G9" s="34"/>
      <c r="H9" s="34"/>
      <c r="I9" s="34"/>
      <c r="J9" s="34"/>
      <c r="K9" s="34"/>
    </row>
    <row r="10" spans="1:11" ht="55.5" customHeight="1" x14ac:dyDescent="0.25">
      <c r="A10" s="34" t="s">
        <v>712</v>
      </c>
      <c r="B10" s="34" t="s">
        <v>713</v>
      </c>
      <c r="C10" s="34" t="s">
        <v>23</v>
      </c>
      <c r="D10" s="34" t="s">
        <v>714</v>
      </c>
      <c r="E10" s="34" t="s">
        <v>715</v>
      </c>
      <c r="F10" s="34" t="s">
        <v>716</v>
      </c>
      <c r="G10" s="34"/>
      <c r="H10" s="34"/>
      <c r="I10" s="34"/>
      <c r="J10" s="34"/>
      <c r="K10" s="34"/>
    </row>
    <row r="11" spans="1:11" ht="55.5" customHeight="1" x14ac:dyDescent="0.25">
      <c r="A11" s="34" t="s">
        <v>717</v>
      </c>
      <c r="B11" s="34" t="s">
        <v>718</v>
      </c>
      <c r="C11" s="34" t="s">
        <v>23</v>
      </c>
      <c r="D11" s="34" t="s">
        <v>719</v>
      </c>
      <c r="E11" s="17" t="s">
        <v>720</v>
      </c>
      <c r="F11" s="34" t="s">
        <v>721</v>
      </c>
      <c r="G11" s="34"/>
      <c r="H11" s="34"/>
      <c r="I11" s="34"/>
      <c r="J11" s="34"/>
      <c r="K11" s="34"/>
    </row>
    <row r="12" spans="1:11" ht="55.5" customHeight="1" x14ac:dyDescent="0.25"/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845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722</v>
      </c>
      <c r="B8" s="34" t="s">
        <v>723</v>
      </c>
      <c r="C8" s="34" t="s">
        <v>23</v>
      </c>
      <c r="D8" s="34"/>
      <c r="E8" s="34" t="s">
        <v>724</v>
      </c>
      <c r="F8" s="34" t="s">
        <v>725</v>
      </c>
      <c r="G8" s="34"/>
      <c r="H8" s="34"/>
      <c r="I8" s="34"/>
      <c r="J8" s="34"/>
      <c r="K8" s="34"/>
    </row>
    <row r="9" spans="1:11" ht="55.5" customHeight="1" x14ac:dyDescent="0.25">
      <c r="A9" s="34" t="s">
        <v>726</v>
      </c>
      <c r="B9" s="34" t="s">
        <v>727</v>
      </c>
      <c r="C9" s="34" t="s">
        <v>23</v>
      </c>
      <c r="D9" s="34" t="s">
        <v>728</v>
      </c>
      <c r="E9" s="34" t="s">
        <v>488</v>
      </c>
      <c r="F9" s="34" t="s">
        <v>729</v>
      </c>
      <c r="G9" s="34"/>
      <c r="H9" s="34"/>
      <c r="I9" s="34"/>
      <c r="J9" s="34"/>
      <c r="K9" s="34"/>
    </row>
    <row r="10" spans="1:11" ht="55.5" customHeight="1" x14ac:dyDescent="0.25">
      <c r="A10" s="34" t="s">
        <v>730</v>
      </c>
      <c r="B10" s="34" t="s">
        <v>731</v>
      </c>
      <c r="C10" s="34" t="s">
        <v>23</v>
      </c>
      <c r="D10" s="34" t="s">
        <v>492</v>
      </c>
      <c r="E10" s="34" t="s">
        <v>732</v>
      </c>
      <c r="F10" s="34" t="s">
        <v>668</v>
      </c>
      <c r="G10" s="34"/>
      <c r="H10" s="34"/>
      <c r="I10" s="34"/>
      <c r="J10" s="34"/>
      <c r="K10" s="34"/>
    </row>
    <row r="11" spans="1:11" ht="55.5" customHeight="1" x14ac:dyDescent="0.25">
      <c r="A11" s="34" t="s">
        <v>733</v>
      </c>
      <c r="B11" s="34" t="s">
        <v>734</v>
      </c>
      <c r="C11" s="34" t="s">
        <v>23</v>
      </c>
      <c r="D11" s="34" t="s">
        <v>108</v>
      </c>
      <c r="E11" s="17" t="s">
        <v>677</v>
      </c>
      <c r="F11" s="34" t="s">
        <v>497</v>
      </c>
      <c r="G11" s="34"/>
      <c r="H11" s="34"/>
      <c r="I11" s="34"/>
      <c r="J11" s="34"/>
      <c r="K11" s="34"/>
    </row>
    <row r="12" spans="1:11" ht="55.5" customHeight="1" x14ac:dyDescent="0.25">
      <c r="A12" s="34" t="s">
        <v>735</v>
      </c>
      <c r="B12" s="34" t="s">
        <v>736</v>
      </c>
      <c r="C12" s="34" t="s">
        <v>23</v>
      </c>
      <c r="D12" s="34" t="s">
        <v>328</v>
      </c>
      <c r="E12" s="34" t="s">
        <v>737</v>
      </c>
      <c r="F12" s="34" t="s">
        <v>738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844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739</v>
      </c>
      <c r="B8" s="34" t="s">
        <v>740</v>
      </c>
      <c r="C8" s="34" t="s">
        <v>23</v>
      </c>
      <c r="D8" s="34" t="s">
        <v>741</v>
      </c>
      <c r="E8" s="34" t="s">
        <v>742</v>
      </c>
      <c r="F8" s="34" t="s">
        <v>743</v>
      </c>
      <c r="G8" s="34"/>
      <c r="H8" s="34"/>
      <c r="I8" s="34"/>
      <c r="J8" s="34"/>
      <c r="K8" s="34"/>
    </row>
    <row r="9" spans="1:11" ht="55.5" customHeight="1" x14ac:dyDescent="0.25">
      <c r="A9" s="34" t="s">
        <v>744</v>
      </c>
      <c r="B9" s="34" t="s">
        <v>745</v>
      </c>
      <c r="C9" s="34" t="s">
        <v>23</v>
      </c>
      <c r="D9" s="34" t="s">
        <v>746</v>
      </c>
      <c r="E9" s="34" t="s">
        <v>636</v>
      </c>
      <c r="F9" s="34" t="s">
        <v>747</v>
      </c>
      <c r="G9" s="34"/>
      <c r="H9" s="34"/>
      <c r="I9" s="34"/>
      <c r="J9" s="34"/>
      <c r="K9" s="34"/>
    </row>
    <row r="10" spans="1:11" ht="55.5" customHeight="1" x14ac:dyDescent="0.25">
      <c r="A10" s="34" t="s">
        <v>748</v>
      </c>
      <c r="B10" s="34" t="s">
        <v>749</v>
      </c>
      <c r="C10" s="34" t="s">
        <v>23</v>
      </c>
      <c r="D10" s="34" t="s">
        <v>750</v>
      </c>
      <c r="E10" s="34" t="s">
        <v>751</v>
      </c>
      <c r="F10" s="34" t="s">
        <v>752</v>
      </c>
      <c r="G10" s="34"/>
      <c r="H10" s="34"/>
      <c r="I10" s="34"/>
      <c r="J10" s="34"/>
      <c r="K10" s="34"/>
    </row>
    <row r="11" spans="1:11" ht="55.5" customHeight="1" x14ac:dyDescent="0.25">
      <c r="A11" s="34" t="s">
        <v>753</v>
      </c>
      <c r="B11" s="34" t="s">
        <v>754</v>
      </c>
      <c r="C11" s="34" t="s">
        <v>23</v>
      </c>
      <c r="D11" s="34" t="s">
        <v>750</v>
      </c>
      <c r="E11" s="17" t="s">
        <v>755</v>
      </c>
      <c r="F11" s="34" t="s">
        <v>756</v>
      </c>
      <c r="G11" s="34"/>
      <c r="H11" s="34"/>
      <c r="I11" s="34"/>
      <c r="J11" s="34"/>
      <c r="K11" s="34"/>
    </row>
    <row r="12" spans="1:11" ht="55.5" customHeight="1" x14ac:dyDescent="0.25">
      <c r="A12" s="34" t="s">
        <v>757</v>
      </c>
      <c r="B12" s="34" t="s">
        <v>758</v>
      </c>
      <c r="C12" s="34" t="s">
        <v>23</v>
      </c>
      <c r="D12" s="34" t="s">
        <v>759</v>
      </c>
      <c r="E12" s="34" t="s">
        <v>760</v>
      </c>
      <c r="F12" s="34" t="s">
        <v>761</v>
      </c>
      <c r="G12" s="34"/>
      <c r="H12" s="34"/>
      <c r="I12" s="34"/>
      <c r="J12" s="34"/>
      <c r="K12" s="34"/>
    </row>
    <row r="13" spans="1:11" ht="55.5" customHeight="1" x14ac:dyDescent="0.25">
      <c r="A13" s="34" t="s">
        <v>762</v>
      </c>
      <c r="B13" s="34" t="s">
        <v>763</v>
      </c>
      <c r="C13" s="34" t="s">
        <v>23</v>
      </c>
      <c r="D13" s="34"/>
      <c r="E13" s="34" t="s">
        <v>764</v>
      </c>
      <c r="F13" s="34" t="s">
        <v>765</v>
      </c>
      <c r="G13" s="34"/>
      <c r="H13" s="34"/>
      <c r="I13" s="34"/>
      <c r="J13" s="34"/>
      <c r="K13" s="34"/>
    </row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766</v>
      </c>
      <c r="B8" s="34" t="s">
        <v>767</v>
      </c>
      <c r="C8" s="34" t="s">
        <v>23</v>
      </c>
      <c r="D8" s="34" t="s">
        <v>741</v>
      </c>
      <c r="E8" s="34" t="s">
        <v>768</v>
      </c>
      <c r="F8" s="34" t="s">
        <v>769</v>
      </c>
      <c r="G8" s="34"/>
      <c r="H8" s="34"/>
      <c r="I8" s="34"/>
      <c r="J8" s="34"/>
      <c r="K8" s="34"/>
    </row>
    <row r="9" spans="1:11" ht="55.5" customHeight="1" x14ac:dyDescent="0.25">
      <c r="A9" s="34" t="s">
        <v>770</v>
      </c>
      <c r="B9" s="34" t="s">
        <v>771</v>
      </c>
      <c r="C9" s="34" t="s">
        <v>23</v>
      </c>
      <c r="D9" s="34" t="s">
        <v>357</v>
      </c>
      <c r="E9" s="34" t="s">
        <v>772</v>
      </c>
      <c r="F9" s="34" t="s">
        <v>773</v>
      </c>
      <c r="G9" s="34"/>
      <c r="H9" s="34"/>
      <c r="I9" s="34"/>
      <c r="J9" s="34"/>
      <c r="K9" s="34"/>
    </row>
    <row r="10" spans="1:11" ht="55.5" customHeight="1" x14ac:dyDescent="0.25">
      <c r="A10" s="34" t="s">
        <v>774</v>
      </c>
      <c r="B10" s="34" t="s">
        <v>775</v>
      </c>
      <c r="C10" s="34" t="s">
        <v>23</v>
      </c>
      <c r="D10" s="34"/>
      <c r="E10" s="34" t="s">
        <v>776</v>
      </c>
      <c r="F10" s="34" t="s">
        <v>777</v>
      </c>
      <c r="G10" s="34"/>
      <c r="H10" s="34"/>
      <c r="I10" s="34"/>
      <c r="J10" s="34"/>
      <c r="K10" s="34"/>
    </row>
    <row r="11" spans="1:11" ht="55.5" customHeight="1" x14ac:dyDescent="0.25">
      <c r="A11" s="34" t="s">
        <v>778</v>
      </c>
      <c r="B11" s="34" t="s">
        <v>779</v>
      </c>
      <c r="C11" s="34" t="s">
        <v>23</v>
      </c>
      <c r="D11" s="34" t="s">
        <v>780</v>
      </c>
      <c r="E11" s="17" t="s">
        <v>781</v>
      </c>
      <c r="F11" s="34" t="s">
        <v>782</v>
      </c>
      <c r="G11" s="34"/>
      <c r="H11" s="34"/>
      <c r="I11" s="34"/>
      <c r="J11" s="34"/>
      <c r="K11" s="34"/>
    </row>
    <row r="12" spans="1:11" ht="55.5" customHeight="1" x14ac:dyDescent="0.25">
      <c r="A12" s="34" t="s">
        <v>783</v>
      </c>
      <c r="B12" s="34" t="s">
        <v>784</v>
      </c>
      <c r="C12" s="34" t="s">
        <v>23</v>
      </c>
      <c r="D12" s="34" t="s">
        <v>785</v>
      </c>
      <c r="E12" s="34" t="s">
        <v>786</v>
      </c>
      <c r="F12" s="34" t="s">
        <v>787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788</v>
      </c>
      <c r="B8" s="34" t="s">
        <v>789</v>
      </c>
      <c r="C8" s="34" t="s">
        <v>23</v>
      </c>
      <c r="D8" s="34" t="s">
        <v>741</v>
      </c>
      <c r="E8" s="34" t="s">
        <v>790</v>
      </c>
      <c r="F8" s="34" t="s">
        <v>791</v>
      </c>
      <c r="G8" s="34"/>
      <c r="H8" s="34"/>
      <c r="I8" s="34"/>
      <c r="J8" s="34"/>
      <c r="K8" s="34"/>
    </row>
    <row r="9" spans="1:11" ht="55.5" customHeight="1" x14ac:dyDescent="0.25">
      <c r="A9" s="34" t="s">
        <v>792</v>
      </c>
      <c r="B9" s="34" t="s">
        <v>793</v>
      </c>
      <c r="C9" s="34" t="s">
        <v>23</v>
      </c>
      <c r="D9" s="34" t="s">
        <v>794</v>
      </c>
      <c r="E9" s="34" t="s">
        <v>795</v>
      </c>
      <c r="F9" s="34" t="s">
        <v>796</v>
      </c>
      <c r="G9" s="34"/>
      <c r="H9" s="34"/>
      <c r="I9" s="34"/>
      <c r="J9" s="34"/>
      <c r="K9" s="34"/>
    </row>
    <row r="10" spans="1:11" ht="55.5" customHeight="1" x14ac:dyDescent="0.25">
      <c r="A10" s="34" t="s">
        <v>797</v>
      </c>
      <c r="B10" s="34" t="s">
        <v>419</v>
      </c>
      <c r="C10" s="34" t="s">
        <v>23</v>
      </c>
      <c r="D10" s="34"/>
      <c r="E10" s="34" t="s">
        <v>798</v>
      </c>
      <c r="F10" s="34" t="s">
        <v>799</v>
      </c>
      <c r="G10" s="34"/>
      <c r="H10" s="34"/>
      <c r="I10" s="34"/>
      <c r="J10" s="34"/>
      <c r="K10" s="34"/>
    </row>
    <row r="11" spans="1:11" ht="55.5" customHeight="1" x14ac:dyDescent="0.25">
      <c r="A11" s="34" t="s">
        <v>800</v>
      </c>
      <c r="B11" s="34" t="s">
        <v>801</v>
      </c>
      <c r="C11" s="34" t="s">
        <v>23</v>
      </c>
      <c r="D11" s="34" t="s">
        <v>802</v>
      </c>
      <c r="E11" s="17" t="s">
        <v>803</v>
      </c>
      <c r="F11" s="34" t="s">
        <v>804</v>
      </c>
      <c r="G11" s="34"/>
      <c r="H11" s="34"/>
      <c r="I11" s="34"/>
      <c r="J11" s="34"/>
      <c r="K11" s="34"/>
    </row>
    <row r="12" spans="1:11" ht="55.5" customHeight="1" x14ac:dyDescent="0.25">
      <c r="A12" s="34" t="s">
        <v>805</v>
      </c>
      <c r="B12" s="34" t="s">
        <v>806</v>
      </c>
      <c r="C12" s="34" t="s">
        <v>23</v>
      </c>
      <c r="D12" s="34" t="s">
        <v>807</v>
      </c>
      <c r="E12" s="34" t="s">
        <v>808</v>
      </c>
      <c r="F12" s="34" t="s">
        <v>809</v>
      </c>
      <c r="G12" s="34"/>
      <c r="H12" s="34"/>
      <c r="I12" s="34"/>
      <c r="J12" s="34"/>
      <c r="K12" s="34"/>
    </row>
    <row r="13" spans="1:11" ht="55.5" customHeight="1" x14ac:dyDescent="0.25"/>
    <row r="14" spans="1:11" ht="55.5" customHeight="1" x14ac:dyDescent="0.25"/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K16"/>
  <sheetViews>
    <sheetView tabSelected="1" workbookViewId="0">
      <selection activeCell="E11" sqref="E11"/>
    </sheetView>
  </sheetViews>
  <sheetFormatPr defaultRowHeight="16.5" x14ac:dyDescent="0.25"/>
  <cols>
    <col min="1" max="1" width="27.85546875" style="4" customWidth="1"/>
    <col min="2" max="2" width="45" style="4" customWidth="1"/>
    <col min="3" max="3" width="35" style="4" customWidth="1"/>
    <col min="4" max="4" width="40" style="4" customWidth="1"/>
    <col min="5" max="5" width="65" style="4" customWidth="1"/>
    <col min="6" max="6" width="50" style="4" customWidth="1"/>
    <col min="7" max="7" width="16" style="4" customWidth="1"/>
    <col min="8" max="10" width="10" style="4" customWidth="1"/>
    <col min="11" max="11" width="15" style="4" customWidth="1"/>
    <col min="12" max="16384" width="9.140625" style="4"/>
  </cols>
  <sheetData>
    <row r="2" spans="1:11" x14ac:dyDescent="0.25">
      <c r="B2" s="21" t="s">
        <v>0</v>
      </c>
      <c r="C2" s="22" t="s">
        <v>841</v>
      </c>
      <c r="D2" s="23" t="s">
        <v>1</v>
      </c>
      <c r="E2" s="24" t="s">
        <v>2</v>
      </c>
      <c r="F2" s="25" t="s">
        <v>3</v>
      </c>
      <c r="G2" s="26">
        <v>45969</v>
      </c>
    </row>
    <row r="3" spans="1:11" ht="33" x14ac:dyDescent="0.25">
      <c r="B3" s="27" t="s">
        <v>4</v>
      </c>
      <c r="C3" s="27" t="s">
        <v>5</v>
      </c>
      <c r="D3" s="27" t="s">
        <v>6</v>
      </c>
      <c r="E3" s="27" t="s">
        <v>842</v>
      </c>
      <c r="F3" s="28" t="s">
        <v>843</v>
      </c>
      <c r="G3" s="29" t="s">
        <v>8</v>
      </c>
    </row>
    <row r="4" spans="1:11" x14ac:dyDescent="0.25">
      <c r="B4" s="30">
        <f>COUNTIF(H8:J38,"Passed")</f>
        <v>0</v>
      </c>
      <c r="C4" s="30">
        <f>COUNTIF(H8:J38,"Failed")</f>
        <v>0</v>
      </c>
      <c r="D4" s="30">
        <f>COUNTIF(H8:H38,"Pending")</f>
        <v>0</v>
      </c>
      <c r="E4" s="30">
        <f>COUNTIF(H8:H38,"Not Start")</f>
        <v>0</v>
      </c>
      <c r="F4" s="28">
        <f>COUNTIF(H8:H38,"Blocked")</f>
        <v>0</v>
      </c>
      <c r="G4" s="31">
        <f>COUNTA(H8:J38)</f>
        <v>0</v>
      </c>
    </row>
    <row r="6" spans="1:11" ht="49.5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/>
      <c r="J6" s="32"/>
      <c r="K6" s="32" t="s">
        <v>17</v>
      </c>
    </row>
    <row r="7" spans="1:11" x14ac:dyDescent="0.25">
      <c r="A7" s="33"/>
      <c r="B7" s="33"/>
      <c r="C7" s="33"/>
      <c r="D7" s="33"/>
      <c r="E7" s="33"/>
      <c r="F7" s="33"/>
      <c r="G7" s="33"/>
      <c r="H7" s="33" t="s">
        <v>18</v>
      </c>
      <c r="I7" s="33" t="s">
        <v>19</v>
      </c>
      <c r="J7" s="33" t="s">
        <v>20</v>
      </c>
      <c r="K7" s="33"/>
    </row>
    <row r="8" spans="1:11" ht="55.5" customHeight="1" x14ac:dyDescent="0.25">
      <c r="A8" s="34" t="s">
        <v>810</v>
      </c>
      <c r="B8" s="34" t="s">
        <v>811</v>
      </c>
      <c r="C8" s="34" t="s">
        <v>23</v>
      </c>
      <c r="D8" s="34" t="s">
        <v>741</v>
      </c>
      <c r="E8" s="34" t="s">
        <v>812</v>
      </c>
      <c r="F8" s="34" t="s">
        <v>813</v>
      </c>
      <c r="G8" s="34"/>
      <c r="H8" s="34"/>
      <c r="I8" s="34"/>
      <c r="J8" s="34"/>
      <c r="K8" s="34"/>
    </row>
    <row r="9" spans="1:11" ht="55.5" customHeight="1" x14ac:dyDescent="0.25">
      <c r="A9" s="34" t="s">
        <v>814</v>
      </c>
      <c r="B9" s="34" t="s">
        <v>815</v>
      </c>
      <c r="C9" s="34" t="s">
        <v>23</v>
      </c>
      <c r="D9" s="34"/>
      <c r="E9" s="34" t="s">
        <v>816</v>
      </c>
      <c r="F9" s="34" t="s">
        <v>817</v>
      </c>
      <c r="G9" s="34"/>
      <c r="H9" s="34"/>
      <c r="I9" s="34"/>
      <c r="J9" s="34"/>
      <c r="K9" s="34"/>
    </row>
    <row r="10" spans="1:11" ht="55.5" customHeight="1" x14ac:dyDescent="0.25">
      <c r="A10" s="34" t="s">
        <v>818</v>
      </c>
      <c r="B10" s="34" t="s">
        <v>819</v>
      </c>
      <c r="C10" s="34" t="s">
        <v>23</v>
      </c>
      <c r="D10" s="34" t="s">
        <v>820</v>
      </c>
      <c r="E10" s="34" t="s">
        <v>821</v>
      </c>
      <c r="F10" s="34" t="s">
        <v>822</v>
      </c>
      <c r="G10" s="34"/>
      <c r="H10" s="34"/>
      <c r="I10" s="34"/>
      <c r="J10" s="34"/>
      <c r="K10" s="34"/>
    </row>
    <row r="11" spans="1:11" ht="55.5" customHeight="1" x14ac:dyDescent="0.25">
      <c r="A11" s="34" t="s">
        <v>823</v>
      </c>
      <c r="B11" s="34" t="s">
        <v>824</v>
      </c>
      <c r="C11" s="34" t="s">
        <v>23</v>
      </c>
      <c r="D11" s="34"/>
      <c r="E11" s="17" t="s">
        <v>825</v>
      </c>
      <c r="F11" s="34" t="s">
        <v>826</v>
      </c>
      <c r="G11" s="34"/>
      <c r="H11" s="34"/>
      <c r="I11" s="34"/>
      <c r="J11" s="34"/>
      <c r="K11" s="34"/>
    </row>
    <row r="12" spans="1:11" ht="55.5" customHeight="1" x14ac:dyDescent="0.25">
      <c r="A12" s="34" t="s">
        <v>827</v>
      </c>
      <c r="B12" s="34" t="s">
        <v>828</v>
      </c>
      <c r="C12" s="34" t="s">
        <v>23</v>
      </c>
      <c r="D12" s="34" t="s">
        <v>829</v>
      </c>
      <c r="E12" s="34" t="s">
        <v>830</v>
      </c>
      <c r="F12" s="34" t="s">
        <v>831</v>
      </c>
      <c r="G12" s="34"/>
      <c r="H12" s="34"/>
      <c r="I12" s="34"/>
      <c r="J12" s="34"/>
      <c r="K12" s="34"/>
    </row>
    <row r="13" spans="1:11" ht="55.5" customHeight="1" x14ac:dyDescent="0.25">
      <c r="A13" s="34" t="s">
        <v>832</v>
      </c>
      <c r="B13" s="34" t="s">
        <v>833</v>
      </c>
      <c r="C13" s="34" t="s">
        <v>23</v>
      </c>
      <c r="D13" s="34"/>
      <c r="E13" s="34" t="s">
        <v>834</v>
      </c>
      <c r="F13" s="34" t="s">
        <v>835</v>
      </c>
      <c r="G13" s="34"/>
      <c r="H13" s="34"/>
      <c r="I13" s="34"/>
      <c r="J13" s="34"/>
      <c r="K13" s="34"/>
    </row>
    <row r="14" spans="1:11" ht="55.5" customHeight="1" x14ac:dyDescent="0.25">
      <c r="A14" s="34" t="s">
        <v>836</v>
      </c>
      <c r="B14" s="34" t="s">
        <v>837</v>
      </c>
      <c r="C14" s="34" t="s">
        <v>23</v>
      </c>
      <c r="D14" s="34" t="s">
        <v>838</v>
      </c>
      <c r="E14" s="34" t="s">
        <v>839</v>
      </c>
      <c r="F14" s="34" t="s">
        <v>840</v>
      </c>
      <c r="G14" s="34"/>
      <c r="H14" s="34"/>
      <c r="I14" s="34"/>
      <c r="J14" s="34"/>
      <c r="K14" s="34"/>
    </row>
    <row r="15" spans="1:11" ht="55.5" customHeight="1" x14ac:dyDescent="0.25"/>
    <row r="16" spans="1:11" ht="55.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Title</vt:lpstr>
      <vt:lpstr>Document Control</vt:lpstr>
      <vt:lpstr>Summary Report</vt:lpstr>
      <vt:lpstr>1. Auth Customer</vt:lpstr>
      <vt:lpstr>2. Search Trip</vt:lpstr>
      <vt:lpstr>3. Trip Detail</vt:lpstr>
      <vt:lpstr>4. Booking</vt:lpstr>
      <vt:lpstr>5. Payment</vt:lpstr>
      <vt:lpstr>6. View Ticket QR</vt:lpstr>
      <vt:lpstr>7. Guest Lookup OTP</vt:lpstr>
      <vt:lpstr>8. Cancel Ticket</vt:lpstr>
      <vt:lpstr>9. Complaints</vt:lpstr>
      <vt:lpstr>10. Profile</vt:lpstr>
      <vt:lpstr>11. Loyalty</vt:lpstr>
      <vt:lpstr>12. Operator Auth</vt:lpstr>
      <vt:lpstr>13. Operator Routes</vt:lpstr>
      <vt:lpstr>14. Operator Buses</vt:lpstr>
      <vt:lpstr>15. Operator Employees</vt:lpstr>
      <vt:lpstr>16. Operator Trips</vt:lpstr>
      <vt:lpstr>17. Operator Vouchers</vt:lpstr>
      <vt:lpstr>18. Operator Reports</vt:lpstr>
      <vt:lpstr>19. TM Auth</vt:lpstr>
      <vt:lpstr>20. TM QR CheckIn</vt:lpstr>
      <vt:lpstr>21. TM Trip Status</vt:lpstr>
      <vt:lpstr>22. Admin Auth</vt:lpstr>
      <vt:lpstr>23. Admin Operators</vt:lpstr>
      <vt:lpstr>24. Admin Users</vt:lpstr>
      <vt:lpstr>25. Admin Complaints</vt:lpstr>
      <vt:lpstr>26. Admin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Quoc Luong</dc:creator>
  <cp:lastModifiedBy>Hồng Khanh Nguyễn</cp:lastModifiedBy>
  <dcterms:created xsi:type="dcterms:W3CDTF">2016-06-01T19:54:48Z</dcterms:created>
  <dcterms:modified xsi:type="dcterms:W3CDTF">2026-03-18T01:56:38Z</dcterms:modified>
</cp:coreProperties>
</file>